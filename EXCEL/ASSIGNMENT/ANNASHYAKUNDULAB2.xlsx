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C1B7685B-F5BB-4076-BA12-AA3BF0A27D6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2" i="1"/>
  <c r="M3" i="1"/>
  <c r="M4" i="1"/>
  <c r="M5" i="1"/>
  <c r="M6" i="1"/>
  <c r="M7" i="1"/>
  <c r="M2" i="1"/>
  <c r="K3" i="1" a="1"/>
  <c r="K3" i="1" s="1"/>
  <c r="K4" i="1" a="1"/>
  <c r="K4" i="1" s="1"/>
  <c r="K5" i="1" a="1"/>
  <c r="K5" i="1" s="1"/>
  <c r="K6" i="1" a="1"/>
  <c r="K6" i="1" s="1"/>
  <c r="K7" i="1" a="1"/>
  <c r="K7" i="1" s="1"/>
  <c r="K2" i="1" a="1"/>
  <c r="K2" i="1" s="1"/>
  <c r="L7" i="1"/>
  <c r="J7" i="1"/>
  <c r="I7" i="1"/>
  <c r="H7" i="1"/>
  <c r="F7" i="1"/>
  <c r="L6" i="1"/>
  <c r="J6" i="1"/>
  <c r="H6" i="1"/>
  <c r="F6" i="1"/>
  <c r="I6" i="1" s="1"/>
  <c r="L5" i="1"/>
  <c r="J5" i="1"/>
  <c r="I5" i="1"/>
  <c r="H5" i="1"/>
  <c r="F5" i="1"/>
  <c r="L4" i="1"/>
  <c r="J4" i="1"/>
  <c r="I4" i="1"/>
  <c r="H4" i="1"/>
  <c r="F4" i="1"/>
  <c r="L3" i="1"/>
  <c r="J3" i="1"/>
  <c r="I3" i="1"/>
  <c r="H3" i="1"/>
  <c r="F3" i="1"/>
  <c r="L2" i="1"/>
  <c r="J2" i="1"/>
  <c r="H2" i="1"/>
  <c r="F2" i="1"/>
  <c r="I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<sst xmlns="http://schemas.openxmlformats.org/spreadsheetml/2006/main" count="33" uniqueCount="31">
  <si>
    <t>Bonus Amount</t>
  </si>
  <si>
    <t>High Performer</t>
  </si>
  <si>
    <t>A</t>
  </si>
  <si>
    <t>North</t>
  </si>
  <si>
    <t>1. Use the IF function to evaluate whether each product met its sales target</t>
  </si>
  <si>
    <t>B</t>
  </si>
  <si>
    <t>South</t>
  </si>
  <si>
    <t>2. Use the IF function to determine if a product is eligible for a regional bonus. Products in the "North" region with sales over 200 are eligible.</t>
  </si>
  <si>
    <t>C</t>
  </si>
  <si>
    <t>East</t>
  </si>
  <si>
    <t>3. Use nested IF functions to assign a commission rate based on sales. Sales &gt;= 200 get a 10% commission, sales &gt;= 150 get a 7% commission, and others get a 5% commission.</t>
  </si>
  <si>
    <t>D</t>
  </si>
  <si>
    <t>West</t>
  </si>
  <si>
    <t>4. Use the IF function to calculate a bonus amount. If sales met or exceeded the target, the bonus is 10% of the sales; otherwise, it's 5%.</t>
  </si>
  <si>
    <t>E</t>
  </si>
  <si>
    <t>5. Use the IF function to categorize sales performance as "Excellent" (&gt;=200), "Good" (&gt;=150), or "Needs Improvement" (&lt;150).</t>
  </si>
  <si>
    <t>F</t>
  </si>
  <si>
    <t>6. Use the IF function to assign a price tier based on the sales value. "High" for sales &gt; 200, "Medium" for sales between 100 and 200, and "Low" for sales &lt; 100.</t>
  </si>
  <si>
    <t>7. Use the IF function to calculate the year-end bonus. If sales &gt;= 150 and region is "North", the bonus is $500, otherwise, it's $300.</t>
  </si>
  <si>
    <t>8. Use the IF function to mark high performers. A product is a high performer if its sales are in the top 25% of all sales.</t>
  </si>
  <si>
    <t>Product</t>
  </si>
  <si>
    <t>Sales</t>
  </si>
  <si>
    <t>Target</t>
  </si>
  <si>
    <t>Region</t>
  </si>
  <si>
    <t>Regional Bonus</t>
  </si>
  <si>
    <t>Commission Rate</t>
  </si>
  <si>
    <t>Sales Performance</t>
  </si>
  <si>
    <t>Price Tier</t>
  </si>
  <si>
    <t>Product ID</t>
  </si>
  <si>
    <t>Year End Bonus</t>
  </si>
  <si>
    <t>Target MET OR NOT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</si>
</sst>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  <scheme val="minor"/>
    </font>
    <font>
      <b/>
      <sz val="11"/>
      <name val="Calibri"/>
    </font>
    <font>
      <sz val="11"/>
      <name val="Calibri"/>
    </font>
    <font>
      <b/>
      <sz val="11"/>
      <name val="Calibri"/>
      <family val="2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4B083"/>
        <bgColor rgb="FFF4B083"/>
      </patternFill>
    </fill>
    <fill>
      <patternFill patternType="solid">
        <fgColor rgb="FFFBE4D5"/>
        <bgColor rgb="FFFBE4D5"/>
      </patternFill>
    </fill>
    <fill>
      <patternFill patternType="solid">
        <fgColor rgb="FFFEF2CB"/>
        <bgColor rgb="FFFEF2CB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4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4" fillId="0" borderId="0" xfId="0" applyFont="1"/>
    <xf numFmtId="0" fontId="4" fillId="0" borderId="2" xfId="0" applyFont="1" applyBorder="1"/>
    <xf numFmtId="0" fontId="3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"/>
  <sheetViews>
    <sheetView tabSelected="1" zoomScale="139" workbookViewId="0">
      <selection activeCell="G19" sqref="G19"/>
    </sheetView>
  </sheetViews>
  <sheetFormatPr defaultColWidth="14.42578125" defaultRowHeight="15" customHeight="1" x14ac:dyDescent="0.25"/>
  <cols>
    <col min="1" max="3" width="9.140625" customWidth="1"/>
    <col min="4" max="5" width="8.7109375" customWidth="1"/>
    <col min="6" max="6" width="18.85546875" customWidth="1"/>
    <col min="7" max="7" width="16.140625" customWidth="1"/>
    <col min="8" max="8" width="16" customWidth="1"/>
    <col min="9" max="9" width="14.5703125" customWidth="1"/>
    <col min="10" max="10" width="19.7109375" customWidth="1"/>
    <col min="11" max="11" width="8.7109375" customWidth="1"/>
    <col min="12" max="12" width="17.28515625" customWidth="1"/>
    <col min="13" max="13" width="16.85546875" customWidth="1"/>
    <col min="14" max="15" width="8.7109375" customWidth="1"/>
  </cols>
  <sheetData>
    <row r="1" spans="1:13" ht="30" x14ac:dyDescent="0.25">
      <c r="A1" s="3" t="s">
        <v>28</v>
      </c>
      <c r="B1" s="3" t="s">
        <v>20</v>
      </c>
      <c r="C1" s="3" t="s">
        <v>21</v>
      </c>
      <c r="D1" s="3" t="s">
        <v>22</v>
      </c>
      <c r="E1" s="3" t="s">
        <v>23</v>
      </c>
      <c r="F1" s="8" t="s">
        <v>30</v>
      </c>
      <c r="G1" s="3" t="s">
        <v>24</v>
      </c>
      <c r="H1" s="3" t="s">
        <v>25</v>
      </c>
      <c r="I1" s="3" t="s">
        <v>0</v>
      </c>
      <c r="J1" s="3" t="s">
        <v>26</v>
      </c>
      <c r="K1" s="3" t="s">
        <v>27</v>
      </c>
      <c r="L1" s="8" t="s">
        <v>29</v>
      </c>
      <c r="M1" s="3" t="s">
        <v>1</v>
      </c>
    </row>
    <row r="2" spans="1:13" x14ac:dyDescent="0.25">
      <c r="A2" s="4">
        <v>101</v>
      </c>
      <c r="B2" s="4" t="s">
        <v>2</v>
      </c>
      <c r="C2" s="5">
        <v>120</v>
      </c>
      <c r="D2" s="4">
        <v>150</v>
      </c>
      <c r="E2" s="5" t="s">
        <v>3</v>
      </c>
      <c r="F2" s="1" t="str">
        <f t="shared" ref="F2:F7" si="0">IF(C2&gt;=D2,"YES","NO")</f>
        <v>NO</v>
      </c>
      <c r="G2" s="1" t="str">
        <f>IF(AND(E2="North",C2&gt;200),"Eligible","Not eligible")</f>
        <v>Not eligible</v>
      </c>
      <c r="H2" s="1" t="str">
        <f t="shared" ref="H2:H7" si="1">IF(C2&gt;=200,"10%",IF(C2&gt;=150,"7%","5%"))</f>
        <v>5%</v>
      </c>
      <c r="I2" s="1" t="str">
        <f t="shared" ref="I2:I7" si="2">IF(F2="YES","10%","5%")</f>
        <v>5%</v>
      </c>
      <c r="J2" s="1" t="str">
        <f t="shared" ref="J2:J7" si="3">IF(C2&gt;=200,"Excellent",IF(C2&gt;=150,"Good","Needs improvement"))</f>
        <v>Needs improvement</v>
      </c>
      <c r="K2" s="1" t="str" cm="1">
        <f t="array" ref="K2">_xlfn.IFS(C2&gt;200,"HIGH",C2&lt;100,"LOW",200&lt;C2&gt;100,"MEDIUM")</f>
        <v>MEDIUM</v>
      </c>
      <c r="L2" s="1" t="str">
        <f t="shared" ref="L2:L7" si="4">IF(AND(C2&gt;=150,E2="North"),"$500","$300")</f>
        <v>$300</v>
      </c>
      <c r="M2" s="1" t="str">
        <f>IF(C2&gt;=PERCENTILE($C$2:$C$7,0.75),"High Performer","Low Performer")</f>
        <v>Low Performer</v>
      </c>
    </row>
    <row r="3" spans="1:13" x14ac:dyDescent="0.25">
      <c r="A3" s="4">
        <v>102</v>
      </c>
      <c r="B3" s="4" t="s">
        <v>5</v>
      </c>
      <c r="C3" s="5">
        <v>150</v>
      </c>
      <c r="D3" s="4">
        <v>140</v>
      </c>
      <c r="E3" s="5" t="s">
        <v>6</v>
      </c>
      <c r="F3" s="1" t="str">
        <f t="shared" si="0"/>
        <v>YES</v>
      </c>
      <c r="G3" s="1" t="str">
        <f t="shared" ref="G3:G7" si="5">IF(AND(E3="North",C3&gt;200),"Eligible","Not eligible")</f>
        <v>Not eligible</v>
      </c>
      <c r="H3" s="1" t="str">
        <f t="shared" si="1"/>
        <v>7%</v>
      </c>
      <c r="I3" s="1" t="str">
        <f t="shared" si="2"/>
        <v>10%</v>
      </c>
      <c r="J3" s="1" t="str">
        <f t="shared" si="3"/>
        <v>Good</v>
      </c>
      <c r="K3" s="1" t="str" cm="1">
        <f t="array" ref="K3">_xlfn.IFS(C3&gt;200,"HIGH",C3&lt;100,"LOW",200&lt;C3&gt;100,"MEDIUM")</f>
        <v>MEDIUM</v>
      </c>
      <c r="L3" s="1" t="str">
        <f t="shared" si="4"/>
        <v>$300</v>
      </c>
      <c r="M3" s="1" t="str">
        <f t="shared" ref="M3:M7" si="6">IF(C3&gt;=PERCENTILE($C$2:$C$7,0.75),"High Performer","Low Performer")</f>
        <v>Low Performer</v>
      </c>
    </row>
    <row r="4" spans="1:13" x14ac:dyDescent="0.25">
      <c r="A4" s="4">
        <v>103</v>
      </c>
      <c r="B4" s="4" t="s">
        <v>8</v>
      </c>
      <c r="C4" s="5">
        <v>200</v>
      </c>
      <c r="D4" s="4">
        <v>200</v>
      </c>
      <c r="E4" s="5" t="s">
        <v>9</v>
      </c>
      <c r="F4" s="1" t="str">
        <f t="shared" si="0"/>
        <v>YES</v>
      </c>
      <c r="G4" s="1" t="str">
        <f t="shared" si="5"/>
        <v>Not eligible</v>
      </c>
      <c r="H4" s="1" t="str">
        <f t="shared" si="1"/>
        <v>10%</v>
      </c>
      <c r="I4" s="1" t="str">
        <f t="shared" si="2"/>
        <v>10%</v>
      </c>
      <c r="J4" s="1" t="str">
        <f t="shared" si="3"/>
        <v>Excellent</v>
      </c>
      <c r="K4" s="1" t="str" cm="1">
        <f t="array" ref="K4">_xlfn.IFS(C4&gt;200,"HIGH",C4&lt;100,"LOW",200&lt;C4&gt;100,"MEDIUM")</f>
        <v>MEDIUM</v>
      </c>
      <c r="L4" s="1" t="str">
        <f t="shared" si="4"/>
        <v>$300</v>
      </c>
      <c r="M4" s="1" t="str">
        <f t="shared" si="6"/>
        <v>High Performer</v>
      </c>
    </row>
    <row r="5" spans="1:13" x14ac:dyDescent="0.25">
      <c r="A5" s="4">
        <v>104</v>
      </c>
      <c r="B5" s="4" t="s">
        <v>11</v>
      </c>
      <c r="C5" s="5">
        <v>90</v>
      </c>
      <c r="D5" s="4">
        <v>100</v>
      </c>
      <c r="E5" s="5" t="s">
        <v>12</v>
      </c>
      <c r="F5" s="1" t="str">
        <f t="shared" si="0"/>
        <v>NO</v>
      </c>
      <c r="G5" s="1" t="str">
        <f t="shared" si="5"/>
        <v>Not eligible</v>
      </c>
      <c r="H5" s="1" t="str">
        <f t="shared" si="1"/>
        <v>5%</v>
      </c>
      <c r="I5" s="1" t="str">
        <f t="shared" si="2"/>
        <v>5%</v>
      </c>
      <c r="J5" s="1" t="str">
        <f t="shared" si="3"/>
        <v>Needs improvement</v>
      </c>
      <c r="K5" s="1" t="str" cm="1">
        <f t="array" ref="K5">_xlfn.IFS(C5&gt;200,"HIGH",C5&lt;100,"LOW",200&lt;C5&gt;100,"MEDIUM")</f>
        <v>LOW</v>
      </c>
      <c r="L5" s="1" t="str">
        <f t="shared" si="4"/>
        <v>$300</v>
      </c>
      <c r="M5" s="1" t="str">
        <f t="shared" si="6"/>
        <v>Low Performer</v>
      </c>
    </row>
    <row r="6" spans="1:13" x14ac:dyDescent="0.25">
      <c r="A6" s="4">
        <v>105</v>
      </c>
      <c r="B6" s="4" t="s">
        <v>14</v>
      </c>
      <c r="C6" s="5">
        <v>220</v>
      </c>
      <c r="D6" s="4">
        <v>210</v>
      </c>
      <c r="E6" s="5" t="s">
        <v>3</v>
      </c>
      <c r="F6" s="1" t="str">
        <f t="shared" si="0"/>
        <v>YES</v>
      </c>
      <c r="G6" s="1" t="str">
        <f t="shared" si="5"/>
        <v>Eligible</v>
      </c>
      <c r="H6" s="1" t="str">
        <f t="shared" si="1"/>
        <v>10%</v>
      </c>
      <c r="I6" s="1" t="str">
        <f t="shared" si="2"/>
        <v>10%</v>
      </c>
      <c r="J6" s="1" t="str">
        <f t="shared" si="3"/>
        <v>Excellent</v>
      </c>
      <c r="K6" s="1" t="str" cm="1">
        <f t="array" ref="K6">_xlfn.IFS(C6&gt;200,"HIGH",C6&lt;100,"LOW",200&lt;C6&gt;100,"MEDIUM")</f>
        <v>HIGH</v>
      </c>
      <c r="L6" s="1" t="str">
        <f t="shared" si="4"/>
        <v>$500</v>
      </c>
      <c r="M6" s="1" t="str">
        <f t="shared" si="6"/>
        <v>High Performer</v>
      </c>
    </row>
    <row r="7" spans="1:13" x14ac:dyDescent="0.25">
      <c r="A7" s="4">
        <v>106</v>
      </c>
      <c r="B7" s="4" t="s">
        <v>16</v>
      </c>
      <c r="C7" s="5">
        <v>130</v>
      </c>
      <c r="D7" s="4">
        <v>160</v>
      </c>
      <c r="E7" s="5" t="s">
        <v>6</v>
      </c>
      <c r="F7" s="1" t="str">
        <f t="shared" si="0"/>
        <v>NO</v>
      </c>
      <c r="G7" s="1" t="str">
        <f t="shared" si="5"/>
        <v>Not eligible</v>
      </c>
      <c r="H7" s="1" t="str">
        <f t="shared" si="1"/>
        <v>5%</v>
      </c>
      <c r="I7" s="1" t="str">
        <f t="shared" si="2"/>
        <v>5%</v>
      </c>
      <c r="J7" s="1" t="str">
        <f t="shared" si="3"/>
        <v>Needs improvement</v>
      </c>
      <c r="K7" s="1" t="str" cm="1">
        <f t="array" ref="K7">_xlfn.IFS(C7&gt;200,"HIGH",C7&lt;100,"LOW",200&lt;C7&gt;100,"MEDIUM")</f>
        <v>MEDIUM</v>
      </c>
      <c r="L7" s="1" t="str">
        <f t="shared" si="4"/>
        <v>$300</v>
      </c>
      <c r="M7" s="1" t="str">
        <f t="shared" si="6"/>
        <v>Low Performer</v>
      </c>
    </row>
    <row r="8" spans="1:13" x14ac:dyDescent="0.25">
      <c r="F8" s="2"/>
    </row>
    <row r="9" spans="1:13" x14ac:dyDescent="0.25">
      <c r="F9" s="2"/>
    </row>
    <row r="10" spans="1:13" x14ac:dyDescent="0.25">
      <c r="A10" s="6" t="s">
        <v>4</v>
      </c>
      <c r="F10" s="2"/>
    </row>
    <row r="11" spans="1:13" x14ac:dyDescent="0.25">
      <c r="A11" s="6" t="s">
        <v>7</v>
      </c>
      <c r="F11" s="2"/>
    </row>
    <row r="12" spans="1:13" x14ac:dyDescent="0.25">
      <c r="A12" s="6" t="s">
        <v>10</v>
      </c>
      <c r="F12" s="2"/>
    </row>
    <row r="13" spans="1:13" x14ac:dyDescent="0.25">
      <c r="A13" s="6" t="s">
        <v>13</v>
      </c>
      <c r="F13" s="2"/>
    </row>
    <row r="14" spans="1:13" x14ac:dyDescent="0.25">
      <c r="A14" s="6" t="s">
        <v>15</v>
      </c>
      <c r="F14" s="2"/>
    </row>
    <row r="15" spans="1:13" x14ac:dyDescent="0.25">
      <c r="A15" s="6" t="s">
        <v>17</v>
      </c>
      <c r="F15" s="2"/>
    </row>
    <row r="16" spans="1:13" x14ac:dyDescent="0.25">
      <c r="A16" s="6" t="s">
        <v>18</v>
      </c>
      <c r="F16" s="2"/>
    </row>
    <row r="17" spans="1:6" x14ac:dyDescent="0.25">
      <c r="A17" s="7" t="s">
        <v>19</v>
      </c>
      <c r="F17" s="2"/>
    </row>
    <row r="18" spans="1:6" x14ac:dyDescent="0.25">
      <c r="F18" s="2"/>
    </row>
    <row r="19" spans="1:6" x14ac:dyDescent="0.25">
      <c r="F19" s="2"/>
    </row>
    <row r="20" spans="1:6" x14ac:dyDescent="0.25">
      <c r="F20" s="2"/>
    </row>
    <row r="21" spans="1:6" ht="15.75" customHeight="1" x14ac:dyDescent="0.25">
      <c r="F21" s="2"/>
    </row>
    <row r="22" spans="1:6" ht="15.75" customHeight="1" x14ac:dyDescent="0.25">
      <c r="F22" s="2"/>
    </row>
    <row r="23" spans="1:6" ht="15.75" customHeight="1" x14ac:dyDescent="0.25">
      <c r="F23" s="2"/>
    </row>
    <row r="24" spans="1:6" ht="15.75" customHeight="1" x14ac:dyDescent="0.25">
      <c r="F24" s="2"/>
    </row>
    <row r="25" spans="1:6" ht="15.75" customHeight="1" x14ac:dyDescent="0.25">
      <c r="F25" s="2"/>
    </row>
    <row r="26" spans="1:6" ht="15.75" customHeight="1" x14ac:dyDescent="0.25">
      <c r="F26" s="2"/>
    </row>
    <row r="27" spans="1:6" ht="15.75" customHeight="1" x14ac:dyDescent="0.25">
      <c r="F27" s="2"/>
    </row>
    <row r="28" spans="1:6" ht="15.75" customHeight="1" x14ac:dyDescent="0.25">
      <c r="F28" s="2"/>
    </row>
    <row r="29" spans="1:6" ht="15.75" customHeight="1" x14ac:dyDescent="0.25">
      <c r="F29" s="2"/>
    </row>
    <row r="30" spans="1:6" ht="15.75" customHeight="1" x14ac:dyDescent="0.25">
      <c r="F30" s="2"/>
    </row>
    <row r="31" spans="1:6" ht="15.75" customHeight="1" x14ac:dyDescent="0.25">
      <c r="F31" s="2"/>
    </row>
    <row r="32" spans="1:6" ht="15.75" customHeight="1" x14ac:dyDescent="0.25">
      <c r="F32" s="2"/>
    </row>
    <row r="33" spans="6:6" ht="15.75" customHeight="1" x14ac:dyDescent="0.25">
      <c r="F33" s="2"/>
    </row>
    <row r="34" spans="6:6" ht="15.75" customHeight="1" x14ac:dyDescent="0.25">
      <c r="F34" s="2"/>
    </row>
    <row r="35" spans="6:6" ht="15.75" customHeight="1" x14ac:dyDescent="0.25">
      <c r="F35" s="2"/>
    </row>
    <row r="36" spans="6:6" ht="15.75" customHeight="1" x14ac:dyDescent="0.25">
      <c r="F36" s="2"/>
    </row>
    <row r="37" spans="6:6" ht="15.75" customHeight="1" x14ac:dyDescent="0.25">
      <c r="F37" s="2"/>
    </row>
    <row r="38" spans="6:6" ht="15.75" customHeight="1" x14ac:dyDescent="0.25">
      <c r="F38" s="2"/>
    </row>
    <row r="39" spans="6:6" ht="15.75" customHeight="1" x14ac:dyDescent="0.25">
      <c r="F39" s="2"/>
    </row>
    <row r="40" spans="6:6" ht="15.75" customHeight="1" x14ac:dyDescent="0.25">
      <c r="F40" s="2"/>
    </row>
    <row r="41" spans="6:6" ht="15.75" customHeight="1" x14ac:dyDescent="0.25">
      <c r="F41" s="2"/>
    </row>
    <row r="42" spans="6:6" ht="15.75" customHeight="1" x14ac:dyDescent="0.25">
      <c r="F42" s="2"/>
    </row>
    <row r="43" spans="6:6" ht="15.75" customHeight="1" x14ac:dyDescent="0.25">
      <c r="F43" s="2"/>
    </row>
    <row r="44" spans="6:6" ht="15.75" customHeight="1" x14ac:dyDescent="0.25">
      <c r="F44" s="2"/>
    </row>
    <row r="45" spans="6:6" ht="15.75" customHeight="1" x14ac:dyDescent="0.25">
      <c r="F45" s="2"/>
    </row>
    <row r="46" spans="6:6" ht="15.75" customHeight="1" x14ac:dyDescent="0.25">
      <c r="F46" s="2"/>
    </row>
    <row r="47" spans="6:6" ht="15.75" customHeight="1" x14ac:dyDescent="0.25">
      <c r="F47" s="2"/>
    </row>
    <row r="48" spans="6:6" ht="15.75" customHeight="1" x14ac:dyDescent="0.25">
      <c r="F48" s="2"/>
    </row>
    <row r="49" spans="6:6" ht="15.75" customHeight="1" x14ac:dyDescent="0.25">
      <c r="F49" s="2"/>
    </row>
    <row r="50" spans="6:6" ht="15.75" customHeight="1" x14ac:dyDescent="0.25">
      <c r="F50" s="2"/>
    </row>
    <row r="51" spans="6:6" ht="15.75" customHeight="1" x14ac:dyDescent="0.25">
      <c r="F51" s="2"/>
    </row>
    <row r="52" spans="6:6" ht="15.75" customHeight="1" x14ac:dyDescent="0.25">
      <c r="F52" s="2"/>
    </row>
    <row r="53" spans="6:6" ht="15.75" customHeight="1" x14ac:dyDescent="0.25">
      <c r="F53" s="2"/>
    </row>
    <row r="54" spans="6:6" ht="15.75" customHeight="1" x14ac:dyDescent="0.25">
      <c r="F54" s="2"/>
    </row>
    <row r="55" spans="6:6" ht="15.75" customHeight="1" x14ac:dyDescent="0.25">
      <c r="F55" s="2"/>
    </row>
    <row r="56" spans="6:6" ht="15.75" customHeight="1" x14ac:dyDescent="0.25">
      <c r="F56" s="2"/>
    </row>
    <row r="57" spans="6:6" ht="15.75" customHeight="1" x14ac:dyDescent="0.25">
      <c r="F57" s="2"/>
    </row>
    <row r="58" spans="6:6" ht="15.75" customHeight="1" x14ac:dyDescent="0.25">
      <c r="F58" s="2"/>
    </row>
    <row r="59" spans="6:6" ht="15.75" customHeight="1" x14ac:dyDescent="0.25">
      <c r="F59" s="2"/>
    </row>
    <row r="60" spans="6:6" ht="15.75" customHeight="1" x14ac:dyDescent="0.25">
      <c r="F60" s="2"/>
    </row>
    <row r="61" spans="6:6" ht="15.75" customHeight="1" x14ac:dyDescent="0.25">
      <c r="F61" s="2"/>
    </row>
    <row r="62" spans="6:6" ht="15.75" customHeight="1" x14ac:dyDescent="0.25">
      <c r="F62" s="2"/>
    </row>
    <row r="63" spans="6:6" ht="15.75" customHeight="1" x14ac:dyDescent="0.25">
      <c r="F63" s="2"/>
    </row>
    <row r="64" spans="6:6" ht="15.75" customHeight="1" x14ac:dyDescent="0.25">
      <c r="F64" s="2"/>
    </row>
    <row r="65" spans="6:6" ht="15.75" customHeight="1" x14ac:dyDescent="0.25">
      <c r="F65" s="2"/>
    </row>
    <row r="66" spans="6:6" ht="15.75" customHeight="1" x14ac:dyDescent="0.25">
      <c r="F66" s="2"/>
    </row>
    <row r="67" spans="6:6" ht="15.75" customHeight="1" x14ac:dyDescent="0.25">
      <c r="F67" s="2"/>
    </row>
    <row r="68" spans="6:6" ht="15.75" customHeight="1" x14ac:dyDescent="0.25">
      <c r="F68" s="2"/>
    </row>
    <row r="69" spans="6:6" ht="15.75" customHeight="1" x14ac:dyDescent="0.25">
      <c r="F69" s="2"/>
    </row>
    <row r="70" spans="6:6" ht="15.75" customHeight="1" x14ac:dyDescent="0.25">
      <c r="F70" s="2"/>
    </row>
    <row r="71" spans="6:6" ht="15.75" customHeight="1" x14ac:dyDescent="0.25">
      <c r="F71" s="2"/>
    </row>
    <row r="72" spans="6:6" ht="15.75" customHeight="1" x14ac:dyDescent="0.25">
      <c r="F72" s="2"/>
    </row>
    <row r="73" spans="6:6" ht="15.75" customHeight="1" x14ac:dyDescent="0.25">
      <c r="F73" s="2"/>
    </row>
    <row r="74" spans="6:6" ht="15.75" customHeight="1" x14ac:dyDescent="0.25">
      <c r="F74" s="2"/>
    </row>
    <row r="75" spans="6:6" ht="15.75" customHeight="1" x14ac:dyDescent="0.25">
      <c r="F75" s="2"/>
    </row>
    <row r="76" spans="6:6" ht="15.75" customHeight="1" x14ac:dyDescent="0.25">
      <c r="F76" s="2"/>
    </row>
    <row r="77" spans="6:6" ht="15.75" customHeight="1" x14ac:dyDescent="0.25">
      <c r="F77" s="2"/>
    </row>
    <row r="78" spans="6:6" ht="15.75" customHeight="1" x14ac:dyDescent="0.25">
      <c r="F78" s="2"/>
    </row>
    <row r="79" spans="6:6" ht="15.75" customHeight="1" x14ac:dyDescent="0.25">
      <c r="F79" s="2"/>
    </row>
    <row r="80" spans="6:6" ht="15.75" customHeight="1" x14ac:dyDescent="0.25">
      <c r="F80" s="2"/>
    </row>
    <row r="81" spans="6:6" ht="15.75" customHeight="1" x14ac:dyDescent="0.25">
      <c r="F81" s="2"/>
    </row>
    <row r="82" spans="6:6" ht="15.75" customHeight="1" x14ac:dyDescent="0.25">
      <c r="F82" s="2"/>
    </row>
    <row r="83" spans="6:6" ht="15.75" customHeight="1" x14ac:dyDescent="0.25">
      <c r="F83" s="2"/>
    </row>
    <row r="84" spans="6:6" ht="15.75" customHeight="1" x14ac:dyDescent="0.25">
      <c r="F84" s="2"/>
    </row>
    <row r="85" spans="6:6" ht="15.75" customHeight="1" x14ac:dyDescent="0.25">
      <c r="F85" s="2"/>
    </row>
    <row r="86" spans="6:6" ht="15.75" customHeight="1" x14ac:dyDescent="0.25">
      <c r="F86" s="2"/>
    </row>
    <row r="87" spans="6:6" ht="15.75" customHeight="1" x14ac:dyDescent="0.25">
      <c r="F87" s="2"/>
    </row>
    <row r="88" spans="6:6" ht="15.75" customHeight="1" x14ac:dyDescent="0.25">
      <c r="F88" s="2"/>
    </row>
    <row r="89" spans="6:6" ht="15.75" customHeight="1" x14ac:dyDescent="0.25">
      <c r="F89" s="2"/>
    </row>
    <row r="90" spans="6:6" ht="15.75" customHeight="1" x14ac:dyDescent="0.25">
      <c r="F90" s="2"/>
    </row>
    <row r="91" spans="6:6" ht="15.75" customHeight="1" x14ac:dyDescent="0.25">
      <c r="F91" s="2"/>
    </row>
    <row r="92" spans="6:6" ht="15.75" customHeight="1" x14ac:dyDescent="0.25">
      <c r="F92" s="2"/>
    </row>
    <row r="93" spans="6:6" ht="15.75" customHeight="1" x14ac:dyDescent="0.25">
      <c r="F93" s="2"/>
    </row>
    <row r="94" spans="6:6" ht="15.75" customHeight="1" x14ac:dyDescent="0.25">
      <c r="F94" s="2"/>
    </row>
    <row r="95" spans="6:6" ht="15.75" customHeight="1" x14ac:dyDescent="0.25">
      <c r="F95" s="2"/>
    </row>
    <row r="96" spans="6:6" ht="15.75" customHeight="1" x14ac:dyDescent="0.25">
      <c r="F96" s="2"/>
    </row>
    <row r="97" spans="6:6" ht="15.75" customHeight="1" x14ac:dyDescent="0.25">
      <c r="F97" s="2"/>
    </row>
    <row r="98" spans="6:6" ht="15.75" customHeight="1" x14ac:dyDescent="0.25">
      <c r="F98" s="2"/>
    </row>
    <row r="99" spans="6:6" ht="15.75" customHeight="1" x14ac:dyDescent="0.25">
      <c r="F99" s="2"/>
    </row>
    <row r="100" spans="6:6" ht="15.75" customHeight="1" x14ac:dyDescent="0.25">
      <c r="F100" s="2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ANNASHYA KUNDU</cp:lastModifiedBy>
  <dcterms:created xsi:type="dcterms:W3CDTF">2026-02-24T04:45:51Z</dcterms:created>
  <dcterms:modified xsi:type="dcterms:W3CDTF">2026-02-25T20:23:45Z</dcterms:modified>
</cp:coreProperties>
</file>