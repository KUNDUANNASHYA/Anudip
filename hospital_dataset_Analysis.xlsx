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d0dd836e8f53be5f/Documents/Desktop/PROJECTS/"/>
    </mc:Choice>
  </mc:AlternateContent>
  <xr:revisionPtr revIDLastSave="1" documentId="13_ncr:1_{2F12F184-13D3-43EC-9B35-8B67074F7C71}" xr6:coauthVersionLast="47" xr6:coauthVersionMax="47" xr10:uidLastSave="{7850698C-DC09-4BFC-8A6E-E610163E769B}"/>
  <bookViews>
    <workbookView xWindow="-120" yWindow="-120" windowWidth="29040" windowHeight="15720" activeTab="3" xr2:uid="{00000000-000D-0000-FFFF-FFFF00000000}"/>
  </bookViews>
  <sheets>
    <sheet name="Raw Hospital Data" sheetId="1" r:id="rId1"/>
    <sheet name="Clean Data" sheetId="2" r:id="rId2"/>
    <sheet name="Pivot_table" sheetId="3" r:id="rId3"/>
    <sheet name="Dashboard" sheetId="4" r:id="rId4"/>
  </sheets>
  <definedNames>
    <definedName name="_xlchart.v1.2" hidden="1">Pivot_table!$H$35:$H$37</definedName>
    <definedName name="_xlchart.v1.3" hidden="1">Pivot_table!$I$34</definedName>
    <definedName name="_xlchart.v1.4" hidden="1">Pivot_table!$I$35:$I$37</definedName>
    <definedName name="_xlchart.v2.0" hidden="1">Pivot_table!$A$26:$A$31</definedName>
    <definedName name="_xlchart.v2.1" hidden="1">Pivot_table!$B$26:$B$31</definedName>
    <definedName name="Slicer_Age">#N/A</definedName>
    <definedName name="Slicer_Doctor_Name">#N/A</definedName>
    <definedName name="Slicer_Gender">#N/A</definedName>
    <definedName name="Slicer_Treatment_Typ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2" l="1"/>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alcChain>
</file>

<file path=xl/sharedStrings.xml><?xml version="1.0" encoding="utf-8"?>
<sst xmlns="http://schemas.openxmlformats.org/spreadsheetml/2006/main" count="5085" uniqueCount="547">
  <si>
    <t>Patient ID</t>
  </si>
  <si>
    <t>Department</t>
  </si>
  <si>
    <t>Treatment Type</t>
  </si>
  <si>
    <t>Doctor Name</t>
  </si>
  <si>
    <t>Gender</t>
  </si>
  <si>
    <t>Age</t>
  </si>
  <si>
    <t>Treatment Cost</t>
  </si>
  <si>
    <t>Hospital Stay (Days)</t>
  </si>
  <si>
    <t>Recovery Score</t>
  </si>
  <si>
    <t>P1001</t>
  </si>
  <si>
    <t>Neurology</t>
  </si>
  <si>
    <t>Surgery</t>
  </si>
  <si>
    <t>Dr. L. Khan</t>
  </si>
  <si>
    <t>Male</t>
  </si>
  <si>
    <t>P1002</t>
  </si>
  <si>
    <t>Cardiology</t>
  </si>
  <si>
    <t>Dr. A. Sharma</t>
  </si>
  <si>
    <t>Female</t>
  </si>
  <si>
    <t>P1003</t>
  </si>
  <si>
    <t>Orthopedics</t>
  </si>
  <si>
    <t>Observation</t>
  </si>
  <si>
    <t>Dr. R. Singh</t>
  </si>
  <si>
    <t>P1004</t>
  </si>
  <si>
    <t>Medication</t>
  </si>
  <si>
    <t>Dr. T. Mehta</t>
  </si>
  <si>
    <t>P1005</t>
  </si>
  <si>
    <t>Dr. M. Patel</t>
  </si>
  <si>
    <t>P1006</t>
  </si>
  <si>
    <t>P1007</t>
  </si>
  <si>
    <t>Other</t>
  </si>
  <si>
    <t>P1008</t>
  </si>
  <si>
    <t>Gastroenterology</t>
  </si>
  <si>
    <t>P1009</t>
  </si>
  <si>
    <t>P1010</t>
  </si>
  <si>
    <t>Pediatrics</t>
  </si>
  <si>
    <t>P1011</t>
  </si>
  <si>
    <t>Oncology</t>
  </si>
  <si>
    <t>P1012</t>
  </si>
  <si>
    <t>P1013</t>
  </si>
  <si>
    <t>P1014</t>
  </si>
  <si>
    <t>Therapy</t>
  </si>
  <si>
    <t>P1015</t>
  </si>
  <si>
    <t>P1016</t>
  </si>
  <si>
    <t>P1017</t>
  </si>
  <si>
    <t>P1018</t>
  </si>
  <si>
    <t>P1019</t>
  </si>
  <si>
    <t>P1020</t>
  </si>
  <si>
    <t>P1021</t>
  </si>
  <si>
    <t>P1022</t>
  </si>
  <si>
    <t>P1023</t>
  </si>
  <si>
    <t>P1024</t>
  </si>
  <si>
    <t>P1025</t>
  </si>
  <si>
    <t>P1026</t>
  </si>
  <si>
    <t>P1027</t>
  </si>
  <si>
    <t>P1028</t>
  </si>
  <si>
    <t>P1029</t>
  </si>
  <si>
    <t>P1030</t>
  </si>
  <si>
    <t>P1031</t>
  </si>
  <si>
    <t>P1032</t>
  </si>
  <si>
    <t>P1033</t>
  </si>
  <si>
    <t>P1034</t>
  </si>
  <si>
    <t>P1035</t>
  </si>
  <si>
    <t>P1036</t>
  </si>
  <si>
    <t>P1037</t>
  </si>
  <si>
    <t>P1038</t>
  </si>
  <si>
    <t>P1039</t>
  </si>
  <si>
    <t>P1040</t>
  </si>
  <si>
    <t>P1041</t>
  </si>
  <si>
    <t>P1042</t>
  </si>
  <si>
    <t>P1043</t>
  </si>
  <si>
    <t>P1044</t>
  </si>
  <si>
    <t>P1045</t>
  </si>
  <si>
    <t>P1046</t>
  </si>
  <si>
    <t>P1047</t>
  </si>
  <si>
    <t>P1048</t>
  </si>
  <si>
    <t>P1049</t>
  </si>
  <si>
    <t>P1050</t>
  </si>
  <si>
    <t>P1051</t>
  </si>
  <si>
    <t>P1052</t>
  </si>
  <si>
    <t>P1053</t>
  </si>
  <si>
    <t>P1054</t>
  </si>
  <si>
    <t>P1055</t>
  </si>
  <si>
    <t>P1056</t>
  </si>
  <si>
    <t>P1057</t>
  </si>
  <si>
    <t>P1058</t>
  </si>
  <si>
    <t>P1059</t>
  </si>
  <si>
    <t>P1060</t>
  </si>
  <si>
    <t>P1061</t>
  </si>
  <si>
    <t>P1062</t>
  </si>
  <si>
    <t>P1063</t>
  </si>
  <si>
    <t>P1064</t>
  </si>
  <si>
    <t>P1065</t>
  </si>
  <si>
    <t>P1066</t>
  </si>
  <si>
    <t>P1067</t>
  </si>
  <si>
    <t>P1068</t>
  </si>
  <si>
    <t>P1069</t>
  </si>
  <si>
    <t>P1070</t>
  </si>
  <si>
    <t>P1071</t>
  </si>
  <si>
    <t>P1072</t>
  </si>
  <si>
    <t>P1073</t>
  </si>
  <si>
    <t>P1074</t>
  </si>
  <si>
    <t>P1075</t>
  </si>
  <si>
    <t>P1076</t>
  </si>
  <si>
    <t>P1077</t>
  </si>
  <si>
    <t>P1078</t>
  </si>
  <si>
    <t>P1079</t>
  </si>
  <si>
    <t>P1080</t>
  </si>
  <si>
    <t>P1081</t>
  </si>
  <si>
    <t>P1082</t>
  </si>
  <si>
    <t>P1083</t>
  </si>
  <si>
    <t>P1084</t>
  </si>
  <si>
    <t>P1085</t>
  </si>
  <si>
    <t>P1086</t>
  </si>
  <si>
    <t>P1087</t>
  </si>
  <si>
    <t>P1088</t>
  </si>
  <si>
    <t>P1089</t>
  </si>
  <si>
    <t>P1090</t>
  </si>
  <si>
    <t>P1091</t>
  </si>
  <si>
    <t>P1092</t>
  </si>
  <si>
    <t>P1093</t>
  </si>
  <si>
    <t>P1094</t>
  </si>
  <si>
    <t>P1095</t>
  </si>
  <si>
    <t>P1096</t>
  </si>
  <si>
    <t>P1097</t>
  </si>
  <si>
    <t>P1098</t>
  </si>
  <si>
    <t>P1099</t>
  </si>
  <si>
    <t>P1100</t>
  </si>
  <si>
    <t>P1101</t>
  </si>
  <si>
    <t>P1102</t>
  </si>
  <si>
    <t>P1103</t>
  </si>
  <si>
    <t>P1104</t>
  </si>
  <si>
    <t>P1105</t>
  </si>
  <si>
    <t>P1106</t>
  </si>
  <si>
    <t>P1107</t>
  </si>
  <si>
    <t>P1108</t>
  </si>
  <si>
    <t>P1109</t>
  </si>
  <si>
    <t>P1110</t>
  </si>
  <si>
    <t>P1111</t>
  </si>
  <si>
    <t>P1112</t>
  </si>
  <si>
    <t>P1113</t>
  </si>
  <si>
    <t>P1114</t>
  </si>
  <si>
    <t>P1115</t>
  </si>
  <si>
    <t>P1116</t>
  </si>
  <si>
    <t>P1117</t>
  </si>
  <si>
    <t>P1118</t>
  </si>
  <si>
    <t>P1119</t>
  </si>
  <si>
    <t>P1120</t>
  </si>
  <si>
    <t>P1121</t>
  </si>
  <si>
    <t>P1122</t>
  </si>
  <si>
    <t>P1123</t>
  </si>
  <si>
    <t>P1124</t>
  </si>
  <si>
    <t>P1125</t>
  </si>
  <si>
    <t>P1126</t>
  </si>
  <si>
    <t>P1127</t>
  </si>
  <si>
    <t>P1128</t>
  </si>
  <si>
    <t>P1129</t>
  </si>
  <si>
    <t>P1130</t>
  </si>
  <si>
    <t>P1131</t>
  </si>
  <si>
    <t>P1132</t>
  </si>
  <si>
    <t>P1133</t>
  </si>
  <si>
    <t>P1134</t>
  </si>
  <si>
    <t>P1135</t>
  </si>
  <si>
    <t>P1136</t>
  </si>
  <si>
    <t>P1137</t>
  </si>
  <si>
    <t>P1138</t>
  </si>
  <si>
    <t>P1139</t>
  </si>
  <si>
    <t>P1140</t>
  </si>
  <si>
    <t>P1141</t>
  </si>
  <si>
    <t>P1142</t>
  </si>
  <si>
    <t>P1143</t>
  </si>
  <si>
    <t>P1144</t>
  </si>
  <si>
    <t>P1145</t>
  </si>
  <si>
    <t>P1146</t>
  </si>
  <si>
    <t>P1147</t>
  </si>
  <si>
    <t>P1148</t>
  </si>
  <si>
    <t>P1149</t>
  </si>
  <si>
    <t>P1150</t>
  </si>
  <si>
    <t>P1151</t>
  </si>
  <si>
    <t>P1152</t>
  </si>
  <si>
    <t>P1153</t>
  </si>
  <si>
    <t>P1154</t>
  </si>
  <si>
    <t>P1155</t>
  </si>
  <si>
    <t>P1156</t>
  </si>
  <si>
    <t>P1157</t>
  </si>
  <si>
    <t>P1158</t>
  </si>
  <si>
    <t>P1159</t>
  </si>
  <si>
    <t>P1160</t>
  </si>
  <si>
    <t>P1161</t>
  </si>
  <si>
    <t>P1162</t>
  </si>
  <si>
    <t>P1163</t>
  </si>
  <si>
    <t>P1164</t>
  </si>
  <si>
    <t>P1165</t>
  </si>
  <si>
    <t>P1166</t>
  </si>
  <si>
    <t>P1167</t>
  </si>
  <si>
    <t>P1168</t>
  </si>
  <si>
    <t>P1169</t>
  </si>
  <si>
    <t>P1170</t>
  </si>
  <si>
    <t>P1171</t>
  </si>
  <si>
    <t>P1172</t>
  </si>
  <si>
    <t>P1173</t>
  </si>
  <si>
    <t>P1174</t>
  </si>
  <si>
    <t>P1175</t>
  </si>
  <si>
    <t>P1176</t>
  </si>
  <si>
    <t>P1177</t>
  </si>
  <si>
    <t>P1178</t>
  </si>
  <si>
    <t>P1179</t>
  </si>
  <si>
    <t>P1180</t>
  </si>
  <si>
    <t>P1181</t>
  </si>
  <si>
    <t>P1182</t>
  </si>
  <si>
    <t>P1183</t>
  </si>
  <si>
    <t>P1184</t>
  </si>
  <si>
    <t>P1185</t>
  </si>
  <si>
    <t>P1186</t>
  </si>
  <si>
    <t>P1187</t>
  </si>
  <si>
    <t>P1188</t>
  </si>
  <si>
    <t>P1189</t>
  </si>
  <si>
    <t>P1190</t>
  </si>
  <si>
    <t>P1191</t>
  </si>
  <si>
    <t>P1192</t>
  </si>
  <si>
    <t>P1193</t>
  </si>
  <si>
    <t>P1194</t>
  </si>
  <si>
    <t>P1195</t>
  </si>
  <si>
    <t>P1196</t>
  </si>
  <si>
    <t>P1197</t>
  </si>
  <si>
    <t>P1198</t>
  </si>
  <si>
    <t>P1199</t>
  </si>
  <si>
    <t>P1200</t>
  </si>
  <si>
    <t>P1201</t>
  </si>
  <si>
    <t>P1202</t>
  </si>
  <si>
    <t>P1203</t>
  </si>
  <si>
    <t>P1204</t>
  </si>
  <si>
    <t>P1205</t>
  </si>
  <si>
    <t>P1206</t>
  </si>
  <si>
    <t>P1207</t>
  </si>
  <si>
    <t>P1208</t>
  </si>
  <si>
    <t>P1209</t>
  </si>
  <si>
    <t>P1210</t>
  </si>
  <si>
    <t>P1211</t>
  </si>
  <si>
    <t>P1212</t>
  </si>
  <si>
    <t>P1213</t>
  </si>
  <si>
    <t>P1214</t>
  </si>
  <si>
    <t>P1215</t>
  </si>
  <si>
    <t>P1216</t>
  </si>
  <si>
    <t>P1217</t>
  </si>
  <si>
    <t>P1218</t>
  </si>
  <si>
    <t>P1219</t>
  </si>
  <si>
    <t>P1220</t>
  </si>
  <si>
    <t>P1221</t>
  </si>
  <si>
    <t>P1222</t>
  </si>
  <si>
    <t>P1223</t>
  </si>
  <si>
    <t>P1224</t>
  </si>
  <si>
    <t>P1225</t>
  </si>
  <si>
    <t>P1226</t>
  </si>
  <si>
    <t>P1227</t>
  </si>
  <si>
    <t>P1228</t>
  </si>
  <si>
    <t>P1229</t>
  </si>
  <si>
    <t>P1230</t>
  </si>
  <si>
    <t>P1231</t>
  </si>
  <si>
    <t>P1232</t>
  </si>
  <si>
    <t>P1233</t>
  </si>
  <si>
    <t>P1234</t>
  </si>
  <si>
    <t>P1235</t>
  </si>
  <si>
    <t>P1236</t>
  </si>
  <si>
    <t>P1237</t>
  </si>
  <si>
    <t>P1238</t>
  </si>
  <si>
    <t>P1239</t>
  </si>
  <si>
    <t>P1240</t>
  </si>
  <si>
    <t>P1241</t>
  </si>
  <si>
    <t>P1242</t>
  </si>
  <si>
    <t>P1243</t>
  </si>
  <si>
    <t>P1244</t>
  </si>
  <si>
    <t>P1245</t>
  </si>
  <si>
    <t>P1246</t>
  </si>
  <si>
    <t>P1247</t>
  </si>
  <si>
    <t>P1248</t>
  </si>
  <si>
    <t>P1249</t>
  </si>
  <si>
    <t>P1250</t>
  </si>
  <si>
    <t>P1251</t>
  </si>
  <si>
    <t>P1252</t>
  </si>
  <si>
    <t>P1253</t>
  </si>
  <si>
    <t>P1254</t>
  </si>
  <si>
    <t>P1255</t>
  </si>
  <si>
    <t>P1256</t>
  </si>
  <si>
    <t>P1257</t>
  </si>
  <si>
    <t>P1258</t>
  </si>
  <si>
    <t>P1259</t>
  </si>
  <si>
    <t>P1260</t>
  </si>
  <si>
    <t>P1261</t>
  </si>
  <si>
    <t>P1262</t>
  </si>
  <si>
    <t>P1263</t>
  </si>
  <si>
    <t>P1264</t>
  </si>
  <si>
    <t>P1265</t>
  </si>
  <si>
    <t>P1266</t>
  </si>
  <si>
    <t>P1267</t>
  </si>
  <si>
    <t>P1268</t>
  </si>
  <si>
    <t>P1269</t>
  </si>
  <si>
    <t>P1270</t>
  </si>
  <si>
    <t>P1271</t>
  </si>
  <si>
    <t>P1272</t>
  </si>
  <si>
    <t>P1273</t>
  </si>
  <si>
    <t>P1274</t>
  </si>
  <si>
    <t>P1275</t>
  </si>
  <si>
    <t>P1276</t>
  </si>
  <si>
    <t>P1277</t>
  </si>
  <si>
    <t>P1278</t>
  </si>
  <si>
    <t>P1279</t>
  </si>
  <si>
    <t>P1280</t>
  </si>
  <si>
    <t>P1281</t>
  </si>
  <si>
    <t>P1282</t>
  </si>
  <si>
    <t>P1283</t>
  </si>
  <si>
    <t>P1284</t>
  </si>
  <si>
    <t>P1285</t>
  </si>
  <si>
    <t>P1286</t>
  </si>
  <si>
    <t>P1287</t>
  </si>
  <si>
    <t>P1288</t>
  </si>
  <si>
    <t>P1289</t>
  </si>
  <si>
    <t>P1290</t>
  </si>
  <si>
    <t>P1291</t>
  </si>
  <si>
    <t>P1292</t>
  </si>
  <si>
    <t>P1293</t>
  </si>
  <si>
    <t>P1294</t>
  </si>
  <si>
    <t>P1295</t>
  </si>
  <si>
    <t>P1296</t>
  </si>
  <si>
    <t>P1297</t>
  </si>
  <si>
    <t>P1298</t>
  </si>
  <si>
    <t>P1299</t>
  </si>
  <si>
    <t>P1300</t>
  </si>
  <si>
    <t>P1301</t>
  </si>
  <si>
    <t>P1302</t>
  </si>
  <si>
    <t>P1303</t>
  </si>
  <si>
    <t>P1304</t>
  </si>
  <si>
    <t>P1305</t>
  </si>
  <si>
    <t>P1306</t>
  </si>
  <si>
    <t>P1307</t>
  </si>
  <si>
    <t>P1308</t>
  </si>
  <si>
    <t>P1309</t>
  </si>
  <si>
    <t>P1310</t>
  </si>
  <si>
    <t>P1311</t>
  </si>
  <si>
    <t>P1312</t>
  </si>
  <si>
    <t>P1313</t>
  </si>
  <si>
    <t>P1314</t>
  </si>
  <si>
    <t>P1315</t>
  </si>
  <si>
    <t>P1316</t>
  </si>
  <si>
    <t>P1317</t>
  </si>
  <si>
    <t>P1318</t>
  </si>
  <si>
    <t>P1319</t>
  </si>
  <si>
    <t>P1320</t>
  </si>
  <si>
    <t>P1321</t>
  </si>
  <si>
    <t>P1322</t>
  </si>
  <si>
    <t>P1323</t>
  </si>
  <si>
    <t>P1324</t>
  </si>
  <si>
    <t>P1325</t>
  </si>
  <si>
    <t>P1326</t>
  </si>
  <si>
    <t>P1327</t>
  </si>
  <si>
    <t>P1328</t>
  </si>
  <si>
    <t>P1329</t>
  </si>
  <si>
    <t>P1330</t>
  </si>
  <si>
    <t>P1331</t>
  </si>
  <si>
    <t>P1332</t>
  </si>
  <si>
    <t>P1333</t>
  </si>
  <si>
    <t>P1334</t>
  </si>
  <si>
    <t>P1335</t>
  </si>
  <si>
    <t>P1336</t>
  </si>
  <si>
    <t>P1337</t>
  </si>
  <si>
    <t>P1338</t>
  </si>
  <si>
    <t>P1339</t>
  </si>
  <si>
    <t>P1340</t>
  </si>
  <si>
    <t>P1341</t>
  </si>
  <si>
    <t>P1342</t>
  </si>
  <si>
    <t>P1343</t>
  </si>
  <si>
    <t>P1344</t>
  </si>
  <si>
    <t>P1345</t>
  </si>
  <si>
    <t>P1346</t>
  </si>
  <si>
    <t>P1347</t>
  </si>
  <si>
    <t>P1348</t>
  </si>
  <si>
    <t>P1349</t>
  </si>
  <si>
    <t>P1350</t>
  </si>
  <si>
    <t>P1351</t>
  </si>
  <si>
    <t>P1352</t>
  </si>
  <si>
    <t>P1353</t>
  </si>
  <si>
    <t>P1354</t>
  </si>
  <si>
    <t>P1355</t>
  </si>
  <si>
    <t>P1356</t>
  </si>
  <si>
    <t>P1357</t>
  </si>
  <si>
    <t>P1358</t>
  </si>
  <si>
    <t>P1359</t>
  </si>
  <si>
    <t>P1360</t>
  </si>
  <si>
    <t>P1361</t>
  </si>
  <si>
    <t>P1362</t>
  </si>
  <si>
    <t>P1363</t>
  </si>
  <si>
    <t>P1364</t>
  </si>
  <si>
    <t>P1365</t>
  </si>
  <si>
    <t>P1366</t>
  </si>
  <si>
    <t>P1367</t>
  </si>
  <si>
    <t>P1368</t>
  </si>
  <si>
    <t>P1369</t>
  </si>
  <si>
    <t>P1370</t>
  </si>
  <si>
    <t>P1371</t>
  </si>
  <si>
    <t>P1372</t>
  </si>
  <si>
    <t>P1373</t>
  </si>
  <si>
    <t>P1374</t>
  </si>
  <si>
    <t>P1375</t>
  </si>
  <si>
    <t>P1376</t>
  </si>
  <si>
    <t>P1377</t>
  </si>
  <si>
    <t>P1378</t>
  </si>
  <si>
    <t>P1379</t>
  </si>
  <si>
    <t>P1380</t>
  </si>
  <si>
    <t>P1381</t>
  </si>
  <si>
    <t>P1382</t>
  </si>
  <si>
    <t>P1383</t>
  </si>
  <si>
    <t>P1384</t>
  </si>
  <si>
    <t>P1385</t>
  </si>
  <si>
    <t>P1386</t>
  </si>
  <si>
    <t>P1387</t>
  </si>
  <si>
    <t>P1388</t>
  </si>
  <si>
    <t>P1389</t>
  </si>
  <si>
    <t>P1390</t>
  </si>
  <si>
    <t>P1391</t>
  </si>
  <si>
    <t>P1392</t>
  </si>
  <si>
    <t>P1393</t>
  </si>
  <si>
    <t>P1394</t>
  </si>
  <si>
    <t>P1395</t>
  </si>
  <si>
    <t>P1396</t>
  </si>
  <si>
    <t>P1397</t>
  </si>
  <si>
    <t>P1398</t>
  </si>
  <si>
    <t>P1399</t>
  </si>
  <si>
    <t>P1400</t>
  </si>
  <si>
    <t>P1401</t>
  </si>
  <si>
    <t>P1402</t>
  </si>
  <si>
    <t>P1403</t>
  </si>
  <si>
    <t>P1404</t>
  </si>
  <si>
    <t>P1405</t>
  </si>
  <si>
    <t>P1406</t>
  </si>
  <si>
    <t>P1407</t>
  </si>
  <si>
    <t>P1408</t>
  </si>
  <si>
    <t>P1409</t>
  </si>
  <si>
    <t>P1410</t>
  </si>
  <si>
    <t>P1411</t>
  </si>
  <si>
    <t>P1412</t>
  </si>
  <si>
    <t>P1413</t>
  </si>
  <si>
    <t>P1414</t>
  </si>
  <si>
    <t>P1415</t>
  </si>
  <si>
    <t>P1416</t>
  </si>
  <si>
    <t>P1417</t>
  </si>
  <si>
    <t>P1418</t>
  </si>
  <si>
    <t>P1419</t>
  </si>
  <si>
    <t>P1420</t>
  </si>
  <si>
    <t>P1421</t>
  </si>
  <si>
    <t>P1422</t>
  </si>
  <si>
    <t>P1423</t>
  </si>
  <si>
    <t>P1424</t>
  </si>
  <si>
    <t>P1425</t>
  </si>
  <si>
    <t>P1426</t>
  </si>
  <si>
    <t>P1427</t>
  </si>
  <si>
    <t>P1428</t>
  </si>
  <si>
    <t>P1429</t>
  </si>
  <si>
    <t>P1430</t>
  </si>
  <si>
    <t>P1431</t>
  </si>
  <si>
    <t>P1432</t>
  </si>
  <si>
    <t>P1433</t>
  </si>
  <si>
    <t>P1434</t>
  </si>
  <si>
    <t>P1435</t>
  </si>
  <si>
    <t>P1436</t>
  </si>
  <si>
    <t>P1437</t>
  </si>
  <si>
    <t>P1438</t>
  </si>
  <si>
    <t>P1439</t>
  </si>
  <si>
    <t>P1440</t>
  </si>
  <si>
    <t>P1441</t>
  </si>
  <si>
    <t>P1442</t>
  </si>
  <si>
    <t>P1443</t>
  </si>
  <si>
    <t>P1444</t>
  </si>
  <si>
    <t>P1445</t>
  </si>
  <si>
    <t>P1446</t>
  </si>
  <si>
    <t>P1447</t>
  </si>
  <si>
    <t>P1448</t>
  </si>
  <si>
    <t>P1449</t>
  </si>
  <si>
    <t>P1450</t>
  </si>
  <si>
    <t>P1451</t>
  </si>
  <si>
    <t>P1452</t>
  </si>
  <si>
    <t>P1453</t>
  </si>
  <si>
    <t>P1454</t>
  </si>
  <si>
    <t>P1455</t>
  </si>
  <si>
    <t>P1456</t>
  </si>
  <si>
    <t>P1457</t>
  </si>
  <si>
    <t>P1458</t>
  </si>
  <si>
    <t>P1459</t>
  </si>
  <si>
    <t>P1460</t>
  </si>
  <si>
    <t>P1461</t>
  </si>
  <si>
    <t>P1462</t>
  </si>
  <si>
    <t>P1463</t>
  </si>
  <si>
    <t>P1464</t>
  </si>
  <si>
    <t>P1465</t>
  </si>
  <si>
    <t>P1466</t>
  </si>
  <si>
    <t>P1467</t>
  </si>
  <si>
    <t>P1468</t>
  </si>
  <si>
    <t>P1469</t>
  </si>
  <si>
    <t>P1470</t>
  </si>
  <si>
    <t>P1471</t>
  </si>
  <si>
    <t>P1472</t>
  </si>
  <si>
    <t>P1473</t>
  </si>
  <si>
    <t>P1474</t>
  </si>
  <si>
    <t>P1475</t>
  </si>
  <si>
    <t>P1476</t>
  </si>
  <si>
    <t>P1477</t>
  </si>
  <si>
    <t>P1478</t>
  </si>
  <si>
    <t>P1479</t>
  </si>
  <si>
    <t>P1480</t>
  </si>
  <si>
    <t>P1481</t>
  </si>
  <si>
    <t>P1482</t>
  </si>
  <si>
    <t>P1483</t>
  </si>
  <si>
    <t>P1484</t>
  </si>
  <si>
    <t>P1485</t>
  </si>
  <si>
    <t>P1486</t>
  </si>
  <si>
    <t>P1487</t>
  </si>
  <si>
    <t>P1488</t>
  </si>
  <si>
    <t>P1489</t>
  </si>
  <si>
    <t>P1490</t>
  </si>
  <si>
    <t>P1491</t>
  </si>
  <si>
    <t>P1492</t>
  </si>
  <si>
    <t>P1493</t>
  </si>
  <si>
    <t>P1494</t>
  </si>
  <si>
    <t>P1495</t>
  </si>
  <si>
    <t>P1496</t>
  </si>
  <si>
    <t>P1497</t>
  </si>
  <si>
    <t>P1498</t>
  </si>
  <si>
    <t>P1499</t>
  </si>
  <si>
    <t>P1500</t>
  </si>
  <si>
    <t>Patient Count</t>
  </si>
  <si>
    <t>Average of Treatment Cost</t>
  </si>
  <si>
    <t>Average of Age</t>
  </si>
  <si>
    <t>Average of Hospital Stay (Days)</t>
  </si>
  <si>
    <t>Average of Recovery Score</t>
  </si>
  <si>
    <t>Row Labels</t>
  </si>
  <si>
    <t>Grand Total</t>
  </si>
  <si>
    <t>Avg  Recovery Score</t>
  </si>
  <si>
    <t>Avg Recovery Score</t>
  </si>
  <si>
    <t>Min Recovery Score</t>
  </si>
  <si>
    <t>Max Recovery Score</t>
  </si>
  <si>
    <t>Cost Category</t>
  </si>
  <si>
    <t>HIGH COST</t>
  </si>
  <si>
    <t>LOW COST</t>
  </si>
  <si>
    <t>Age Group</t>
  </si>
  <si>
    <t>Adult</t>
  </si>
  <si>
    <t>Child</t>
  </si>
  <si>
    <t>Senior Citizen</t>
  </si>
  <si>
    <t>p</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</si>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</sst>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7" tint="0.39997558519241921"/>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7"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0">
    <xf numFmtId="0" fontId="0" fillId="0" borderId="0" xfId="0"/>
    <xf numFmtId="2" fontId="1" fillId="0" borderId="0" xfId="0" applyNumberFormat="1" applyFont="1"/>
    <xf numFmtId="0" fontId="1" fillId="2" borderId="0" xfId="0" applyFont="1" applyFill="1"/>
    <xf numFmtId="2" fontId="1" fillId="3" borderId="0" xfId="0" applyNumberFormat="1" applyFont="1" applyFill="1"/>
    <xf numFmtId="0" fontId="1" fillId="2" borderId="1" xfId="0" applyFont="1" applyFill="1" applyBorder="1"/>
    <xf numFmtId="2" fontId="1" fillId="3" borderId="1" xfId="0" applyNumberFormat="1" applyFont="1" applyFill="1" applyBorder="1"/>
    <xf numFmtId="0" fontId="0" fillId="0" borderId="1" xfId="0" applyBorder="1"/>
    <xf numFmtId="0" fontId="1" fillId="0" borderId="0" xfId="0" applyFont="1" applyAlignment="1">
      <alignment horizontal="left"/>
    </xf>
    <xf numFmtId="0" fontId="1" fillId="2" borderId="0" xfId="0" applyFont="1" applyFill="1" applyAlignment="1">
      <alignment horizontal="left"/>
    </xf>
    <xf numFmtId="2" fontId="1" fillId="2" borderId="1" xfId="0" applyNumberFormat="1" applyFont="1" applyFill="1" applyBorder="1"/>
    <xf numFmtId="2" fontId="1" fillId="2" borderId="0" xfId="0" applyNumberFormat="1" applyFont="1" applyFill="1"/>
    <xf numFmtId="0" fontId="0" fillId="0" borderId="1" xfId="0" applyBorder="1" applyAlignment="1">
      <alignment horizontal="center" vertical="center"/>
    </xf>
    <xf numFmtId="0" fontId="0" fillId="0" borderId="2" xfId="0" applyBorder="1" applyAlignment="1">
      <alignment horizontal="center" vertical="center"/>
    </xf>
    <xf numFmtId="0" fontId="1" fillId="0" borderId="0" xfId="0" applyFont="1" applyAlignment="1">
      <alignment horizontal="center"/>
    </xf>
    <xf numFmtId="0" fontId="0" fillId="0" borderId="0" xfId="0" applyAlignment="1">
      <alignment horizontal="center"/>
    </xf>
    <xf numFmtId="0" fontId="0" fillId="4" borderId="1" xfId="0" applyFill="1" applyBorder="1" applyAlignment="1">
      <alignment horizontal="center" vertical="center"/>
    </xf>
    <xf numFmtId="0" fontId="0" fillId="4" borderId="1" xfId="0" applyFill="1" applyBorder="1" applyAlignment="1">
      <alignment horizontal="center"/>
    </xf>
    <xf numFmtId="0" fontId="1" fillId="5" borderId="1" xfId="0" applyFont="1" applyFill="1" applyBorder="1" applyAlignment="1">
      <alignment horizontal="center"/>
    </xf>
    <xf numFmtId="0" fontId="1" fillId="3" borderId="1" xfId="0" applyFont="1" applyFill="1" applyBorder="1"/>
    <xf numFmtId="0" fontId="0" fillId="0" borderId="0" xfId="0" applyAlignment="1">
      <alignment horizontal="center" vertical="center"/>
    </xf>
  </cellXfs>
  <cellStyles count="1">
    <cellStyle name="Normal" xfId="0" builtinId="0"/>
  </cellStyles>
  <dxfs count="90">
    <dxf>
      <fill>
        <patternFill>
          <bgColor theme="7" tint="0.79998168889431442"/>
        </patternFill>
      </fill>
    </dxf>
    <dxf>
      <fill>
        <patternFill>
          <bgColor theme="7" tint="0.39997558519241921"/>
        </patternFill>
      </fill>
    </dxf>
    <dxf>
      <numFmt numFmtId="2" formatCode="0.00"/>
    </dxf>
    <dxf>
      <numFmt numFmtId="2" formatCode="0.00"/>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39997558519241921"/>
        </patternFill>
      </fill>
    </dxf>
    <dxf>
      <font>
        <b/>
      </font>
    </dxf>
    <dxf>
      <font>
        <b/>
      </font>
    </dxf>
    <dxf>
      <font>
        <b/>
      </font>
    </dxf>
    <dxf>
      <numFmt numFmtId="2" formatCode="0.00"/>
    </dxf>
    <dxf>
      <fill>
        <patternFill patternType="solid">
          <bgColor theme="7" tint="0.79998168889431442"/>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2" formatCode="0.00"/>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b/>
      </font>
    </dxf>
    <dxf>
      <font>
        <b/>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2" formatCode="0.00"/>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b/>
      </font>
    </dxf>
    <dxf>
      <font>
        <b/>
      </font>
    </dxf>
    <dxf>
      <fill>
        <patternFill patternType="solid">
          <bgColor theme="7" tint="0.79998168889431442"/>
        </patternFill>
      </fill>
    </dxf>
    <dxf>
      <fill>
        <patternFill patternType="solid">
          <bgColor theme="7" tint="0.39997558519241921"/>
        </patternFill>
      </fill>
    </dxf>
    <dxf>
      <fill>
        <patternFill patternType="solid">
          <bgColor theme="7" tint="0.39997558519241921"/>
        </patternFill>
      </fill>
    </dxf>
    <dxf>
      <numFmt numFmtId="2" formatCode="0.00"/>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b/>
      </font>
    </dxf>
    <dxf>
      <font>
        <b/>
      </font>
    </dxf>
    <dxf>
      <fill>
        <patternFill patternType="solid">
          <bgColor theme="7" tint="0.79998168889431442"/>
        </patternFill>
      </fill>
    </dxf>
    <dxf>
      <fill>
        <patternFill patternType="solid">
          <bgColor theme="7" tint="0.39997558519241921"/>
        </patternFill>
      </fill>
    </dxf>
    <dxf>
      <numFmt numFmtId="2" formatCode="0.00"/>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79998168889431442"/>
        </patternFill>
      </fill>
    </dxf>
    <dxf>
      <fill>
        <patternFill patternType="solid">
          <bgColor theme="7" tint="0.39997558519241921"/>
        </patternFill>
      </fill>
    </dxf>
    <dxf>
      <font>
        <b/>
      </font>
    </dxf>
    <dxf>
      <font>
        <b/>
      </font>
    </dxf>
    <dxf>
      <font>
        <b/>
      </font>
    </dxf>
    <dxf>
      <numFmt numFmtId="2" formatCode="0.00"/>
    </dxf>
    <dxf>
      <numFmt numFmtId="2" formatCode="0.00"/>
    </dxf>
    <dxf>
      <numFmt numFmtId="2" formatCode="0.00"/>
    </dxf>
    <dxf>
      <numFmt numFmtId="2" formatCode="0.00"/>
    </dxf>
    <dxf>
      <fill>
        <patternFill patternType="solid">
          <bgColor theme="7" tint="0.39997558519241921"/>
        </patternFill>
      </fill>
    </dxf>
    <dxf>
      <numFmt numFmtId="2" formatCode="0.00"/>
    </dxf>
    <dxf>
      <fill>
        <patternFill>
          <bgColor theme="7" tint="0.79998168889431442"/>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b/>
      </font>
    </dxf>
    <dxf>
      <font>
        <b/>
      </font>
    </dxf>
    <dxf>
      <alignment horizontal="center" vertical="center" textRotation="0" wrapText="0" indent="0" justifyLastLine="0" shrinkToFit="0" readingOrder="0"/>
    </dxf>
    <dxf>
      <numFmt numFmtId="0" formatCode="General"/>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horizontal style="thin">
          <color indexed="64"/>
        </horizontal>
      </border>
    </dxf>
    <dxf>
      <alignment horizontal="center" vertical="center" textRotation="0" wrapText="0" indent="0" justifyLastLine="0" shrinkToFit="0" readingOrder="0"/>
    </dxf>
    <dxf>
      <font>
        <b/>
      </font>
      <alignment horizont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[hospital_dataset_Analysis.xlsx]Pivot_table!PivotTable2</c:name>
    <c:fmtId val="6"/>
  </c:pivotSource>
  <c:chart>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w="9525">
              <a:solidFill>
                <a:schemeClr val="accent4">
                  <a:shade val="6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w="9525">
              <a:solidFill>
                <a:schemeClr val="accent4">
                  <a:tint val="6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Pivot_table!$B$7</c:f>
              <c:strCache>
                <c:ptCount val="1"/>
                <c:pt idx="0">
                  <c:v>Avg Recovery Score</c:v>
                </c:pt>
              </c:strCache>
            </c:strRef>
          </c:tx>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Pivot_table!$A$8:$A$14</c:f>
              <c:strCache>
                <c:ptCount val="6"/>
                <c:pt idx="0">
                  <c:v>Cardiology</c:v>
                </c:pt>
                <c:pt idx="1">
                  <c:v>Gastroenterology</c:v>
                </c:pt>
                <c:pt idx="2">
                  <c:v>Neurology</c:v>
                </c:pt>
                <c:pt idx="3">
                  <c:v>Oncology</c:v>
                </c:pt>
                <c:pt idx="4">
                  <c:v>Orthopedics</c:v>
                </c:pt>
                <c:pt idx="5">
                  <c:v>Pediatrics</c:v>
                </c:pt>
              </c:strCache>
            </c:strRef>
          </c:cat>
          <c:val>
            <c:numRef>
              <c:f>Pivot_table!$B$8:$B$14</c:f>
              <c:numCache>
                <c:formatCode>0.00</c:formatCode>
                <c:ptCount val="6"/>
                <c:pt idx="0">
                  <c:v>71.541666666666671</c:v>
                </c:pt>
                <c:pt idx="1">
                  <c:v>67.879120879120876</c:v>
                </c:pt>
                <c:pt idx="2">
                  <c:v>69.313953488372093</c:v>
                </c:pt>
                <c:pt idx="3">
                  <c:v>72.821917808219183</c:v>
                </c:pt>
                <c:pt idx="4">
                  <c:v>70.126315789473679</c:v>
                </c:pt>
                <c:pt idx="5">
                  <c:v>69.855421686746993</c:v>
                </c:pt>
              </c:numCache>
            </c:numRef>
          </c:val>
          <c:extLst>
            <c:ext xmlns:c16="http://schemas.microsoft.com/office/drawing/2014/chart" uri="{C3380CC4-5D6E-409C-BE32-E72D297353CC}">
              <c16:uniqueId val="{00000000-A823-4BE5-A78A-AA9B3B1AA34B}"/>
            </c:ext>
          </c:extLst>
        </c:ser>
        <c:ser>
          <c:idx val="1"/>
          <c:order val="1"/>
          <c:tx>
            <c:strRef>
              <c:f>Pivot_table!$C$7</c:f>
              <c:strCache>
                <c:ptCount val="1"/>
                <c:pt idx="0">
                  <c:v>Max Recovery Score</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Pivot_table!$A$8:$A$14</c:f>
              <c:strCache>
                <c:ptCount val="6"/>
                <c:pt idx="0">
                  <c:v>Cardiology</c:v>
                </c:pt>
                <c:pt idx="1">
                  <c:v>Gastroenterology</c:v>
                </c:pt>
                <c:pt idx="2">
                  <c:v>Neurology</c:v>
                </c:pt>
                <c:pt idx="3">
                  <c:v>Oncology</c:v>
                </c:pt>
                <c:pt idx="4">
                  <c:v>Orthopedics</c:v>
                </c:pt>
                <c:pt idx="5">
                  <c:v>Pediatrics</c:v>
                </c:pt>
              </c:strCache>
            </c:strRef>
          </c:cat>
          <c:val>
            <c:numRef>
              <c:f>Pivot_table!$C$8:$C$14</c:f>
              <c:numCache>
                <c:formatCode>0.00</c:formatCode>
                <c:ptCount val="6"/>
                <c:pt idx="0">
                  <c:v>100</c:v>
                </c:pt>
                <c:pt idx="1">
                  <c:v>100</c:v>
                </c:pt>
                <c:pt idx="2">
                  <c:v>100</c:v>
                </c:pt>
                <c:pt idx="3">
                  <c:v>100</c:v>
                </c:pt>
                <c:pt idx="4">
                  <c:v>100</c:v>
                </c:pt>
                <c:pt idx="5">
                  <c:v>99</c:v>
                </c:pt>
              </c:numCache>
            </c:numRef>
          </c:val>
          <c:extLst>
            <c:ext xmlns:c16="http://schemas.microsoft.com/office/drawing/2014/chart" uri="{C3380CC4-5D6E-409C-BE32-E72D297353CC}">
              <c16:uniqueId val="{00000001-A823-4BE5-A78A-AA9B3B1AA34B}"/>
            </c:ext>
          </c:extLst>
        </c:ser>
        <c:ser>
          <c:idx val="2"/>
          <c:order val="2"/>
          <c:tx>
            <c:strRef>
              <c:f>Pivot_table!$D$7</c:f>
              <c:strCache>
                <c:ptCount val="1"/>
                <c:pt idx="0">
                  <c:v>Min Recovery Score</c:v>
                </c:pt>
              </c:strCache>
            </c:strRef>
          </c:tx>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Pivot_table!$A$8:$A$14</c:f>
              <c:strCache>
                <c:ptCount val="6"/>
                <c:pt idx="0">
                  <c:v>Cardiology</c:v>
                </c:pt>
                <c:pt idx="1">
                  <c:v>Gastroenterology</c:v>
                </c:pt>
                <c:pt idx="2">
                  <c:v>Neurology</c:v>
                </c:pt>
                <c:pt idx="3">
                  <c:v>Oncology</c:v>
                </c:pt>
                <c:pt idx="4">
                  <c:v>Orthopedics</c:v>
                </c:pt>
                <c:pt idx="5">
                  <c:v>Pediatrics</c:v>
                </c:pt>
              </c:strCache>
            </c:strRef>
          </c:cat>
          <c:val>
            <c:numRef>
              <c:f>Pivot_table!$D$8:$D$14</c:f>
              <c:numCache>
                <c:formatCode>0.00</c:formatCode>
                <c:ptCount val="6"/>
                <c:pt idx="0">
                  <c:v>44</c:v>
                </c:pt>
                <c:pt idx="1">
                  <c:v>40</c:v>
                </c:pt>
                <c:pt idx="2">
                  <c:v>40</c:v>
                </c:pt>
                <c:pt idx="3">
                  <c:v>40</c:v>
                </c:pt>
                <c:pt idx="4">
                  <c:v>40</c:v>
                </c:pt>
                <c:pt idx="5">
                  <c:v>41</c:v>
                </c:pt>
              </c:numCache>
            </c:numRef>
          </c:val>
          <c:extLst>
            <c:ext xmlns:c16="http://schemas.microsoft.com/office/drawing/2014/chart" uri="{C3380CC4-5D6E-409C-BE32-E72D297353CC}">
              <c16:uniqueId val="{00000002-A823-4BE5-A78A-AA9B3B1AA34B}"/>
            </c:ext>
          </c:extLst>
        </c:ser>
        <c:dLbls>
          <c:showLegendKey val="0"/>
          <c:showVal val="0"/>
          <c:showCatName val="0"/>
          <c:showSerName val="0"/>
          <c:showPercent val="0"/>
          <c:showBubbleSize val="0"/>
        </c:dLbls>
        <c:gapWidth val="100"/>
        <c:overlap val="-24"/>
        <c:axId val="1623951120"/>
        <c:axId val="1623949680"/>
      </c:barChart>
      <c:catAx>
        <c:axId val="162395112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949680"/>
        <c:crosses val="autoZero"/>
        <c:auto val="1"/>
        <c:lblAlgn val="ctr"/>
        <c:lblOffset val="100"/>
        <c:noMultiLvlLbl val="0"/>
      </c:catAx>
      <c:valAx>
        <c:axId val="1623949680"/>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951120"/>
        <c:crosses val="autoZero"/>
        <c:crossBetween val="between"/>
      </c:valAx>
      <c:spPr>
        <a:noFill/>
        <a:ln>
          <a:noFill/>
        </a:ln>
        <a:effectLst>
          <a:outerShdw blurRad="50800" dist="38100" dir="5400000" algn="t"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[hospital_dataset_Analysis.xlsx]Pivot_table!PivotTable4</c:name>
    <c:fmtId val="10"/>
  </c:pivotSource>
  <c:chart>
    <c:autoTitleDeleted val="1"/>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Pivot_table!$B$16</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Pivot_table!$A$17:$A$22</c:f>
              <c:strCache>
                <c:ptCount val="5"/>
                <c:pt idx="0">
                  <c:v>Dr. A. Sharma</c:v>
                </c:pt>
                <c:pt idx="1">
                  <c:v>Dr. L. Khan</c:v>
                </c:pt>
                <c:pt idx="2">
                  <c:v>Dr. M. Patel</c:v>
                </c:pt>
                <c:pt idx="3">
                  <c:v>Dr. R. Singh</c:v>
                </c:pt>
                <c:pt idx="4">
                  <c:v>Dr. T. Mehta</c:v>
                </c:pt>
              </c:strCache>
            </c:strRef>
          </c:cat>
          <c:val>
            <c:numRef>
              <c:f>Pivot_table!$B$17:$B$22</c:f>
              <c:numCache>
                <c:formatCode>0.00</c:formatCode>
                <c:ptCount val="5"/>
                <c:pt idx="0">
                  <c:v>69.330275229357795</c:v>
                </c:pt>
                <c:pt idx="1">
                  <c:v>69.197916666666671</c:v>
                </c:pt>
                <c:pt idx="2">
                  <c:v>67.917525773195877</c:v>
                </c:pt>
                <c:pt idx="3">
                  <c:v>73.790000000000006</c:v>
                </c:pt>
                <c:pt idx="4">
                  <c:v>70.387755102040813</c:v>
                </c:pt>
              </c:numCache>
            </c:numRef>
          </c:val>
          <c:extLst>
            <c:ext xmlns:c16="http://schemas.microsoft.com/office/drawing/2014/chart" uri="{C3380CC4-5D6E-409C-BE32-E72D297353CC}">
              <c16:uniqueId val="{00000000-0998-4CC7-96BD-2CAEBEEDA86D}"/>
            </c:ext>
          </c:extLst>
        </c:ser>
        <c:dLbls>
          <c:showLegendKey val="0"/>
          <c:showVal val="0"/>
          <c:showCatName val="0"/>
          <c:showSerName val="0"/>
          <c:showPercent val="0"/>
          <c:showBubbleSize val="0"/>
        </c:dLbls>
        <c:gapWidth val="150"/>
        <c:shape val="box"/>
        <c:axId val="1972728768"/>
        <c:axId val="1972725408"/>
        <c:axId val="0"/>
      </c:bar3DChart>
      <c:catAx>
        <c:axId val="1972728768"/>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1972725408"/>
        <c:crosses val="autoZero"/>
        <c:auto val="1"/>
        <c:lblAlgn val="ctr"/>
        <c:lblOffset val="100"/>
        <c:noMultiLvlLbl val="0"/>
      </c:catAx>
      <c:valAx>
        <c:axId val="1972725408"/>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1972728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114300">
        <a:prstClr val="black"/>
      </a:innerShdw>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[hospital_dataset_Analysis.xlsx]Pivot_table!PivotTable8</c:name>
    <c:fmtId val="17"/>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Gender Wise Avg</a:t>
            </a:r>
            <a:r>
              <a:rPr lang="en-US" baseline="0"/>
              <a:t> Recovery Score </a:t>
            </a:r>
            <a:endParaRPr lang="en-US"/>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4">
                  <a:lumMod val="60000"/>
                  <a:lumOff val="40000"/>
                </a:schemeClr>
              </a:gs>
              <a:gs pos="0">
                <a:schemeClr val="accent4"/>
              </a:gs>
            </a:gsLst>
            <a:lin ang="5400000" scaled="0"/>
          </a:gradFill>
          <a:ln w="50800">
            <a:solidFill>
              <a:schemeClr val="lt1"/>
            </a:solidFill>
          </a:ln>
          <a:effectLst/>
          <a:sp3d contourW="50800">
            <a:contourClr>
              <a:schemeClr val="lt1"/>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a:gsLst>
              <a:gs pos="100000">
                <a:schemeClr val="accent4">
                  <a:lumMod val="60000"/>
                  <a:lumOff val="40000"/>
                </a:schemeClr>
              </a:gs>
              <a:gs pos="0">
                <a:schemeClr val="accent4"/>
              </a:gs>
            </a:gsLst>
            <a:lin ang="5400000" scaled="0"/>
          </a:gradFill>
          <a:ln w="50800">
            <a:solidFill>
              <a:schemeClr val="lt1"/>
            </a:solidFill>
          </a:ln>
          <a:effectLst/>
          <a:sp3d contourW="508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a:gsLst>
              <a:gs pos="100000">
                <a:schemeClr val="accent4">
                  <a:shade val="65000"/>
                  <a:lumMod val="60000"/>
                  <a:lumOff val="40000"/>
                </a:schemeClr>
              </a:gs>
              <a:gs pos="0">
                <a:schemeClr val="accent4">
                  <a:shade val="65000"/>
                </a:schemeClr>
              </a:gs>
            </a:gsLst>
            <a:lin ang="5400000" scaled="0"/>
          </a:gradFill>
          <a:ln w="50800">
            <a:solidFill>
              <a:schemeClr val="lt1"/>
            </a:solidFill>
          </a:ln>
          <a:effectLst/>
          <a:sp3d contourW="50800">
            <a:contourClr>
              <a:schemeClr val="lt1"/>
            </a:contourClr>
          </a:sp3d>
        </c:spPr>
      </c:pivotFmt>
      <c:pivotFmt>
        <c:idx val="3"/>
        <c:spPr>
          <a:gradFill>
            <a:gsLst>
              <a:gs pos="100000">
                <a:schemeClr val="accent4">
                  <a:lumMod val="60000"/>
                  <a:lumOff val="40000"/>
                </a:schemeClr>
              </a:gs>
              <a:gs pos="0">
                <a:schemeClr val="accent4"/>
              </a:gs>
            </a:gsLst>
            <a:lin ang="5400000" scaled="0"/>
          </a:gradFill>
          <a:ln w="50800">
            <a:solidFill>
              <a:schemeClr val="lt1"/>
            </a:solidFill>
          </a:ln>
          <a:effectLst/>
          <a:sp3d contourW="50800">
            <a:contourClr>
              <a:schemeClr val="lt1"/>
            </a:contourClr>
          </a:sp3d>
        </c:spPr>
      </c:pivotFmt>
      <c:pivotFmt>
        <c:idx val="4"/>
        <c:spPr>
          <a:gradFill>
            <a:gsLst>
              <a:gs pos="100000">
                <a:schemeClr val="accent4">
                  <a:tint val="65000"/>
                  <a:lumMod val="60000"/>
                  <a:lumOff val="40000"/>
                </a:schemeClr>
              </a:gs>
              <a:gs pos="0">
                <a:schemeClr val="accent4">
                  <a:tint val="65000"/>
                </a:schemeClr>
              </a:gs>
            </a:gsLst>
            <a:lin ang="5400000" scaled="0"/>
          </a:gradFill>
          <a:ln w="50800">
            <a:solidFill>
              <a:schemeClr val="lt1"/>
            </a:solidFill>
          </a:ln>
          <a:effectLst/>
          <a:sp3d contourW="50800">
            <a:contourClr>
              <a:schemeClr val="lt1"/>
            </a:contourClr>
          </a:sp3d>
        </c:spPr>
      </c:pivotFmt>
      <c:pivotFmt>
        <c:idx val="5"/>
        <c:spPr>
          <a:gradFill>
            <a:gsLst>
              <a:gs pos="100000">
                <a:schemeClr val="accent4">
                  <a:lumMod val="60000"/>
                  <a:lumOff val="40000"/>
                </a:schemeClr>
              </a:gs>
              <a:gs pos="0">
                <a:schemeClr val="accent4"/>
              </a:gs>
            </a:gsLst>
            <a:lin ang="5400000" scaled="0"/>
          </a:gradFill>
          <a:ln w="50800">
            <a:solidFill>
              <a:schemeClr val="lt1"/>
            </a:solidFill>
          </a:ln>
          <a:effectLst/>
          <a:sp3d contourW="508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a:gsLst>
              <a:gs pos="100000">
                <a:schemeClr val="accent4">
                  <a:shade val="65000"/>
                  <a:lumMod val="60000"/>
                  <a:lumOff val="40000"/>
                </a:schemeClr>
              </a:gs>
              <a:gs pos="0">
                <a:schemeClr val="accent4">
                  <a:shade val="65000"/>
                </a:schemeClr>
              </a:gs>
            </a:gsLst>
            <a:lin ang="5400000" scaled="0"/>
          </a:gradFill>
          <a:ln w="50800">
            <a:solidFill>
              <a:schemeClr val="lt1"/>
            </a:solidFill>
          </a:ln>
          <a:effectLst/>
          <a:sp3d contourW="50800">
            <a:contourClr>
              <a:schemeClr val="lt1"/>
            </a:contourClr>
          </a:sp3d>
        </c:spPr>
      </c:pivotFmt>
      <c:pivotFmt>
        <c:idx val="7"/>
        <c:spPr>
          <a:gradFill>
            <a:gsLst>
              <a:gs pos="100000">
                <a:schemeClr val="accent4">
                  <a:lumMod val="60000"/>
                  <a:lumOff val="40000"/>
                </a:schemeClr>
              </a:gs>
              <a:gs pos="0">
                <a:schemeClr val="accent4"/>
              </a:gs>
            </a:gsLst>
            <a:lin ang="5400000" scaled="0"/>
          </a:gradFill>
          <a:ln w="50800">
            <a:solidFill>
              <a:schemeClr val="lt1"/>
            </a:solidFill>
          </a:ln>
          <a:effectLst/>
          <a:sp3d contourW="50800">
            <a:contourClr>
              <a:schemeClr val="lt1"/>
            </a:contourClr>
          </a:sp3d>
        </c:spPr>
      </c:pivotFmt>
      <c:pivotFmt>
        <c:idx val="8"/>
        <c:spPr>
          <a:gradFill>
            <a:gsLst>
              <a:gs pos="100000">
                <a:schemeClr val="accent4">
                  <a:tint val="65000"/>
                  <a:lumMod val="60000"/>
                  <a:lumOff val="40000"/>
                </a:schemeClr>
              </a:gs>
              <a:gs pos="0">
                <a:schemeClr val="accent4">
                  <a:tint val="65000"/>
                </a:schemeClr>
              </a:gs>
            </a:gsLst>
            <a:lin ang="5400000" scaled="0"/>
          </a:gradFill>
          <a:ln w="50800">
            <a:solidFill>
              <a:schemeClr val="lt1"/>
            </a:solidFill>
          </a:ln>
          <a:effectLst/>
          <a:sp3d contourW="50800">
            <a:contourClr>
              <a:schemeClr val="lt1"/>
            </a:contourClr>
          </a:sp3d>
        </c:spPr>
      </c:pivotFmt>
    </c:pivotFmts>
    <c:view3D>
      <c:rotX val="30"/>
      <c:rotY val="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Pivot_table!$B$34</c:f>
              <c:strCache>
                <c:ptCount val="1"/>
                <c:pt idx="0">
                  <c:v>Total</c:v>
                </c:pt>
              </c:strCache>
            </c:strRef>
          </c:tx>
          <c:dPt>
            <c:idx val="0"/>
            <c:bubble3D val="0"/>
            <c:spPr>
              <a:gradFill>
                <a:gsLst>
                  <a:gs pos="100000">
                    <a:schemeClr val="accent4">
                      <a:shade val="65000"/>
                      <a:lumMod val="60000"/>
                      <a:lumOff val="40000"/>
                    </a:schemeClr>
                  </a:gs>
                  <a:gs pos="0">
                    <a:schemeClr val="accent4">
                      <a:shade val="65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1-FA98-4F2B-8247-6FD2DCD949AA}"/>
              </c:ext>
            </c:extLst>
          </c:dPt>
          <c:dPt>
            <c:idx val="1"/>
            <c:bubble3D val="0"/>
            <c:spPr>
              <a:gradFill>
                <a:gsLst>
                  <a:gs pos="100000">
                    <a:schemeClr val="accent4">
                      <a:lumMod val="60000"/>
                      <a:lumOff val="40000"/>
                    </a:schemeClr>
                  </a:gs>
                  <a:gs pos="0">
                    <a:schemeClr val="accent4"/>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3-FA98-4F2B-8247-6FD2DCD949AA}"/>
              </c:ext>
            </c:extLst>
          </c:dPt>
          <c:dPt>
            <c:idx val="2"/>
            <c:bubble3D val="0"/>
            <c:spPr>
              <a:gradFill>
                <a:gsLst>
                  <a:gs pos="100000">
                    <a:schemeClr val="accent4">
                      <a:tint val="65000"/>
                      <a:lumMod val="60000"/>
                      <a:lumOff val="40000"/>
                    </a:schemeClr>
                  </a:gs>
                  <a:gs pos="0">
                    <a:schemeClr val="accent4">
                      <a:tint val="65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5-FA98-4F2B-8247-6FD2DCD949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Pivot_table!$A$35:$A$38</c:f>
              <c:strCache>
                <c:ptCount val="3"/>
                <c:pt idx="0">
                  <c:v>Female</c:v>
                </c:pt>
                <c:pt idx="1">
                  <c:v>Male</c:v>
                </c:pt>
                <c:pt idx="2">
                  <c:v>Other</c:v>
                </c:pt>
              </c:strCache>
            </c:strRef>
          </c:cat>
          <c:val>
            <c:numRef>
              <c:f>Pivot_table!$B$35:$B$38</c:f>
              <c:numCache>
                <c:formatCode>0.00</c:formatCode>
                <c:ptCount val="3"/>
                <c:pt idx="0">
                  <c:v>70.988095238095241</c:v>
                </c:pt>
                <c:pt idx="1">
                  <c:v>69.635838150289018</c:v>
                </c:pt>
                <c:pt idx="2">
                  <c:v>69.76100628930817</c:v>
                </c:pt>
              </c:numCache>
            </c:numRef>
          </c:val>
          <c:extLst>
            <c:ext xmlns:c16="http://schemas.microsoft.com/office/drawing/2014/chart" uri="{C3380CC4-5D6E-409C-BE32-E72D297353CC}">
              <c16:uniqueId val="{00000006-FA98-4F2B-8247-6FD2DCD949AA}"/>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[hospital_dataset_Analysis.xlsx]Pivot_table!PivotTable9</c:name>
    <c:fmtId val="27"/>
  </c:pivotSource>
  <c:chart>
    <c:autoTitleDeleted val="1"/>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4">
                  <a:tint val="77000"/>
                  <a:shade val="51000"/>
                  <a:satMod val="130000"/>
                </a:schemeClr>
              </a:gs>
              <a:gs pos="80000">
                <a:schemeClr val="accent4">
                  <a:tint val="77000"/>
                  <a:shade val="93000"/>
                  <a:satMod val="130000"/>
                </a:schemeClr>
              </a:gs>
              <a:gs pos="100000">
                <a:schemeClr val="accent4">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4">
                  <a:tint val="77000"/>
                  <a:shade val="51000"/>
                  <a:satMod val="130000"/>
                </a:schemeClr>
              </a:gs>
              <a:gs pos="80000">
                <a:schemeClr val="accent4">
                  <a:tint val="77000"/>
                  <a:shade val="93000"/>
                  <a:satMod val="130000"/>
                </a:schemeClr>
              </a:gs>
              <a:gs pos="100000">
                <a:schemeClr val="accent4">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Pivot_table!$B$40</c:f>
              <c:strCache>
                <c:ptCount val="1"/>
                <c:pt idx="0">
                  <c:v>Total</c:v>
                </c:pt>
              </c:strCache>
            </c:strRef>
          </c:tx>
          <c:dPt>
            <c:idx val="0"/>
            <c:bubble3D val="0"/>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02E-42BB-891A-00F2B16F76A9}"/>
              </c:ext>
            </c:extLst>
          </c:dPt>
          <c:dPt>
            <c:idx val="1"/>
            <c:bubble3D val="0"/>
            <c:spPr>
              <a:gradFill rotWithShape="1">
                <a:gsLst>
                  <a:gs pos="0">
                    <a:schemeClr val="accent4">
                      <a:tint val="77000"/>
                      <a:shade val="51000"/>
                      <a:satMod val="130000"/>
                    </a:schemeClr>
                  </a:gs>
                  <a:gs pos="80000">
                    <a:schemeClr val="accent4">
                      <a:tint val="77000"/>
                      <a:shade val="93000"/>
                      <a:satMod val="130000"/>
                    </a:schemeClr>
                  </a:gs>
                  <a:gs pos="100000">
                    <a:schemeClr val="accent4">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02E-42BB-891A-00F2B16F76A9}"/>
              </c:ext>
            </c:extLst>
          </c:dPt>
          <c:cat>
            <c:strRef>
              <c:f>Pivot_table!$A$41:$A$43</c:f>
              <c:strCache>
                <c:ptCount val="2"/>
                <c:pt idx="0">
                  <c:v>HIGH COST</c:v>
                </c:pt>
                <c:pt idx="1">
                  <c:v>LOW COST</c:v>
                </c:pt>
              </c:strCache>
            </c:strRef>
          </c:cat>
          <c:val>
            <c:numRef>
              <c:f>Pivot_table!$B$41:$B$43</c:f>
              <c:numCache>
                <c:formatCode>0.00</c:formatCode>
                <c:ptCount val="2"/>
                <c:pt idx="0">
                  <c:v>70.610389610389603</c:v>
                </c:pt>
                <c:pt idx="1">
                  <c:v>69.359375</c:v>
                </c:pt>
              </c:numCache>
            </c:numRef>
          </c:val>
          <c:extLst>
            <c:ext xmlns:c16="http://schemas.microsoft.com/office/drawing/2014/chart" uri="{C3380CC4-5D6E-409C-BE32-E72D297353CC}">
              <c16:uniqueId val="{00000004-C02E-42BB-891A-00F2B16F76A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516858469614375"/>
          <c:y val="7.9102820627229231E-2"/>
          <c:w val="0.29697105116839789"/>
          <c:h val="0.293440630189564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Avg Recovery Score by Treatment Type</cx:v>
        </cx:txData>
      </cx:tx>
      <cx:txPr>
        <a:bodyPr spcFirstLastPara="1" vertOverflow="ellipsis" horzOverflow="overflow" wrap="square" lIns="0" tIns="0" rIns="0" bIns="0" anchor="ctr" anchorCtr="1"/>
        <a:lstStyle/>
        <a:p>
          <a:pPr algn="ctr" rtl="0">
            <a:defRPr/>
          </a:pPr>
          <a:r>
            <a:rPr lang="en-US" sz="1600" b="1" i="0" u="none" strike="noStrike" baseline="0">
              <a:solidFill>
                <a:srgbClr val="1F497D"/>
              </a:solidFill>
              <a:latin typeface="Calibri"/>
            </a:rPr>
            <a:t>Avg Recovery Score by Treatment Type</a:t>
          </a:r>
        </a:p>
      </cx:txPr>
    </cx:title>
    <cx:plotArea>
      <cx:plotAreaRegion>
        <cx:series layoutId="funnel" uniqueId="{F2D387B9-FE55-4213-8944-4F4693702CBF}">
          <cx:tx>
            <cx:txData>
              <cx:f/>
              <cx:v>Treatment Type</cx:v>
            </cx:txData>
          </cx:tx>
          <cx:dataId val="0"/>
        </cx:series>
      </cx:plotAreaRegion>
      <cx:axis id="0">
        <cx:catScaling gapWidth="0.400000006"/>
        <cx:tickLabels/>
      </cx:axis>
    </cx:plotArea>
    <cx:legend pos="t" align="ctr" overlay="0"/>
  </cx:chart>
  <cx:spPr>
    <a:effectLst>
      <a:innerShdw blurRad="114300">
        <a:prstClr val="black"/>
      </a:inn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_xlchart.v1.4</cx:f>
      </cx:numDim>
    </cx:data>
  </cx:chartData>
  <cx:chart>
    <cx:title pos="t" align="ctr" overlay="0">
      <cx:tx>
        <cx:txData>
          <cx:v>Age Group wise Avg Recovery Score</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65000"/>
                  <a:lumOff val="35000"/>
                </a:sysClr>
              </a:solidFill>
              <a:latin typeface="Calibri"/>
            </a:rPr>
            <a:t>Age Group wise Avg Recovery Score</a:t>
          </a:r>
        </a:p>
      </cx:txPr>
    </cx:title>
    <cx:plotArea>
      <cx:plotAreaRegion>
        <cx:series layoutId="sunburst" uniqueId="{4872C462-3A86-4A36-818C-7A41DBBED400}">
          <cx:tx>
            <cx:txData>
              <cx:f>_xlchart.v1.3</cx:f>
              <cx:v>Avg  Recovery Score</cx:v>
            </cx:txData>
          </cx:tx>
          <cx:dataLabels>
            <cx:visibility seriesName="0" categoryName="1" value="0"/>
          </cx:dataLabels>
          <cx:dataId val="0"/>
        </cx:series>
      </cx:plotAreaRegion>
    </cx:plotArea>
  </cx:chart>
  <cx:spPr>
    <a:effectLst>
      <a:innerShdw blurRad="114300">
        <a:prstClr val="black"/>
      </a:innerShdw>
    </a:effectLst>
  </cx:spPr>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426">
  <cs:axisTitle>
    <cs:lnRef idx="0"/>
    <cs:fillRef idx="0"/>
    <cs:effectRef idx="0"/>
    <cs:fontRef idx="minor">
      <a:schemeClr val="tx2"/>
    </cs:fontRef>
    <cs:defRPr sz="9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cs:chartArea>
  <cs:dataLabel>
    <cs:lnRef idx="0"/>
    <cs:fillRef idx="0"/>
    <cs:effectRef idx="0"/>
    <cs:fontRef idx="minor">
      <a:schemeClr val="tx2"/>
    </cs:fontRef>
    <cs:defRPr sz="9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2"/>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cs:spPr>
  </cs:dataPoint>
  <cs:dataPoint3D>
    <cs:lnRef idx="0"/>
    <cs:fillRef idx="0">
      <cs:styleClr val="auto"/>
    </cs:fillRef>
    <cs:effectRef idx="0"/>
    <cs:fontRef idx="minor">
      <a:schemeClr val="tx2"/>
    </cs:fontRef>
    <cs:spPr>
      <a:solidFill>
        <a:schemeClr val="phClr"/>
      </a:solidFill>
    </cs:spPr>
  </cs:dataPoint3D>
  <cs:dataPointLine>
    <cs:lnRef idx="0">
      <cs:styleClr val="auto"/>
    </cs:lnRef>
    <cs:fillRef idx="0"/>
    <cs:effectRef idx="0"/>
    <cs:fontRef idx="minor">
      <a:schemeClr val="tx2"/>
    </cs:fontRef>
    <cs:spPr>
      <a:ln w="28575" cap="rnd">
        <a:solidFill>
          <a:schemeClr val="phClr"/>
        </a:solidFill>
        <a:round/>
      </a:ln>
    </cs:spPr>
  </cs:dataPointLine>
  <cs:dataPointMarker>
    <cs:lnRef idx="0"/>
    <cs:fillRef idx="0">
      <cs:styleClr val="auto"/>
    </cs:fillRef>
    <cs:effectRef idx="0"/>
    <cs:fontRef idx="minor">
      <a:schemeClr val="tx2"/>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2"/>
    </cs:fontRef>
    <cs:spPr>
      <a:ln w="2857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2"/>
    </cs:fontRef>
    <cs:defRPr sz="9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cs:seriesAxis>
  <cs:seriesLine>
    <cs:lnRef idx="0"/>
    <cs:fillRef idx="0"/>
    <cs:effectRef idx="0"/>
    <cs:fontRef idx="minor">
      <a:schemeClr val="tx2"/>
    </cs:fontRef>
    <cs:spPr>
      <a:ln w="9525" cap="flat">
        <a:solidFill>
          <a:srgbClr val="D9D9D9"/>
        </a:solidFill>
        <a:round/>
      </a:ln>
    </cs:spPr>
  </cs:seriesLine>
  <cs:title>
    <cs:lnRef idx="0"/>
    <cs:fillRef idx="0"/>
    <cs:effectRef idx="0"/>
    <cs:fontRef idx="minor">
      <a:schemeClr val="tx2"/>
    </cs:fontRef>
    <cs:defRPr sz="1600" b="1"/>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88">
  <cs:axisTitle>
    <cs:lnRef idx="0"/>
    <cs:fillRef idx="0"/>
    <cs:effectRef idx="0"/>
    <cs:fontRef idx="minor">
      <a:schemeClr val="dk1">
        <a:lumMod val="65000"/>
        <a:lumOff val="35000"/>
      </a:schemeClr>
    </cs:fontRef>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8.png"/><Relationship Id="rId3" Type="http://schemas.microsoft.com/office/2014/relationships/chartEx" Target="../charts/chartEx1.xml"/><Relationship Id="rId7" Type="http://schemas.openxmlformats.org/officeDocument/2006/relationships/image" Target="../media/image2.png"/><Relationship Id="rId12" Type="http://schemas.openxmlformats.org/officeDocument/2006/relationships/image" Target="../media/image7.svg"/><Relationship Id="rId17" Type="http://schemas.microsoft.com/office/2014/relationships/chartEx" Target="../charts/chartEx2.xml"/><Relationship Id="rId2" Type="http://schemas.openxmlformats.org/officeDocument/2006/relationships/chart" Target="../charts/chart2.xml"/><Relationship Id="rId16" Type="http://schemas.openxmlformats.org/officeDocument/2006/relationships/image" Target="../media/image11.sv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png"/><Relationship Id="rId5" Type="http://schemas.openxmlformats.org/officeDocument/2006/relationships/chart" Target="../charts/chart4.xml"/><Relationship Id="rId15" Type="http://schemas.openxmlformats.org/officeDocument/2006/relationships/image" Target="../media/image10.png"/><Relationship Id="rId10" Type="http://schemas.openxmlformats.org/officeDocument/2006/relationships/image" Target="../media/image5.svg"/><Relationship Id="rId4" Type="http://schemas.openxmlformats.org/officeDocument/2006/relationships/chart" Target="../charts/chart3.xml"/><Relationship Id="rId9" Type="http://schemas.openxmlformats.org/officeDocument/2006/relationships/image" Target="../media/image4.png"/><Relationship Id="rId14"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editAs="oneCell">
    <xdr:from>
      <xdr:col>9</xdr:col>
      <xdr:colOff>290015</xdr:colOff>
      <xdr:row>14</xdr:row>
      <xdr:rowOff>2985</xdr:rowOff>
    </xdr:from>
    <xdr:to>
      <xdr:col>12</xdr:col>
      <xdr:colOff>290015</xdr:colOff>
      <xdr:row>27</xdr:row>
      <xdr:rowOff>50611</xdr:rowOff>
    </xdr:to>
    <mc:AlternateContent xmlns:mc="http://schemas.openxmlformats.org/markup-compatibility/2006" xmlns:a14="http://schemas.microsoft.com/office/drawing/2010/main">
      <mc:Choice Requires="a14">
        <xdr:graphicFrame macro="">
          <xdr:nvGraphicFramePr>
            <xdr:cNvPr id="2" name="Treatment Type">
              <a:extLst>
                <a:ext uri="{FF2B5EF4-FFF2-40B4-BE49-F238E27FC236}">
                  <a16:creationId xmlns:a16="http://schemas.microsoft.com/office/drawing/2014/main" id="{E493A94E-2DDD-6F35-3809-DD37FF9557C9}"/>
                </a:ext>
              </a:extLst>
            </xdr:cNvPr>
            <xdr:cNvGraphicFramePr/>
          </xdr:nvGraphicFramePr>
          <xdr:xfrm>
            <a:off x="0" y="0"/>
            <a:ext cx="0" cy="0"/>
          </xdr:xfrm>
          <a:graphic>
            <a:graphicData uri="http://schemas.microsoft.com/office/drawing/2010/slicer">
              <sle:slicer xmlns:sle="http://schemas.microsoft.com/office/drawing/2010/slicer" name="Treatment Type"/>
            </a:graphicData>
          </a:graphic>
        </xdr:graphicFrame>
      </mc:Choice>
      <mc:Fallback xmlns="">
        <xdr:sp macro="" textlink="">
          <xdr:nvSpPr>
            <xdr:cNvPr id="0" name=""/>
            <xdr:cNvSpPr>
              <a:spLocks noTextEdit="1"/>
            </xdr:cNvSpPr>
          </xdr:nvSpPr>
          <xdr:spPr>
            <a:xfrm>
              <a:off x="11186899" y="2689888"/>
              <a:ext cx="1833918" cy="25426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180976</xdr:colOff>
      <xdr:row>14</xdr:row>
      <xdr:rowOff>2985</xdr:rowOff>
    </xdr:from>
    <xdr:to>
      <xdr:col>9</xdr:col>
      <xdr:colOff>145435</xdr:colOff>
      <xdr:row>27</xdr:row>
      <xdr:rowOff>50611</xdr:rowOff>
    </xdr:to>
    <mc:AlternateContent xmlns:mc="http://schemas.openxmlformats.org/markup-compatibility/2006" xmlns:a14="http://schemas.microsoft.com/office/drawing/2010/main">
      <mc:Choice Requires="a14">
        <xdr:graphicFrame macro="">
          <xdr:nvGraphicFramePr>
            <xdr:cNvPr id="3" name="Doctor Name">
              <a:extLst>
                <a:ext uri="{FF2B5EF4-FFF2-40B4-BE49-F238E27FC236}">
                  <a16:creationId xmlns:a16="http://schemas.microsoft.com/office/drawing/2014/main" id="{DEF46E1B-9BD9-18C2-668E-2EA8BA401E46}"/>
                </a:ext>
              </a:extLst>
            </xdr:cNvPr>
            <xdr:cNvGraphicFramePr/>
          </xdr:nvGraphicFramePr>
          <xdr:xfrm>
            <a:off x="0" y="0"/>
            <a:ext cx="0" cy="0"/>
          </xdr:xfrm>
          <a:graphic>
            <a:graphicData uri="http://schemas.microsoft.com/office/drawing/2010/slicer">
              <sle:slicer xmlns:sle="http://schemas.microsoft.com/office/drawing/2010/slicer" name="Doctor Name"/>
            </a:graphicData>
          </a:graphic>
        </xdr:graphicFrame>
      </mc:Choice>
      <mc:Fallback xmlns="">
        <xdr:sp macro="" textlink="">
          <xdr:nvSpPr>
            <xdr:cNvPr id="0" name=""/>
            <xdr:cNvSpPr>
              <a:spLocks noTextEdit="1"/>
            </xdr:cNvSpPr>
          </xdr:nvSpPr>
          <xdr:spPr>
            <a:xfrm>
              <a:off x="9208401" y="2689888"/>
              <a:ext cx="1833918" cy="25426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261582</xdr:colOff>
      <xdr:row>0</xdr:row>
      <xdr:rowOff>9667</xdr:rowOff>
    </xdr:from>
    <xdr:to>
      <xdr:col>12</xdr:col>
      <xdr:colOff>261582</xdr:colOff>
      <xdr:row>13</xdr:row>
      <xdr:rowOff>57292</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FCE2D1D0-574E-CF1E-CD8D-B104A96CE8A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158466" y="9667"/>
              <a:ext cx="1833918" cy="25426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145435</xdr:colOff>
      <xdr:row>0</xdr:row>
      <xdr:rowOff>14500</xdr:rowOff>
    </xdr:from>
    <xdr:to>
      <xdr:col>9</xdr:col>
      <xdr:colOff>109894</xdr:colOff>
      <xdr:row>13</xdr:row>
      <xdr:rowOff>62125</xdr:rowOff>
    </xdr:to>
    <mc:AlternateContent xmlns:mc="http://schemas.openxmlformats.org/markup-compatibility/2006" xmlns:a14="http://schemas.microsoft.com/office/drawing/2010/main">
      <mc:Choice Requires="a14">
        <xdr:graphicFrame macro="">
          <xdr:nvGraphicFramePr>
            <xdr:cNvPr id="5" name="Age">
              <a:extLst>
                <a:ext uri="{FF2B5EF4-FFF2-40B4-BE49-F238E27FC236}">
                  <a16:creationId xmlns:a16="http://schemas.microsoft.com/office/drawing/2014/main" id="{5C223894-B6D0-4E7F-8C08-4D8531C935A0}"/>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9172860" y="14500"/>
              <a:ext cx="1833918" cy="25426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23</xdr:col>
      <xdr:colOff>514351</xdr:colOff>
      <xdr:row>5</xdr:row>
      <xdr:rowOff>95250</xdr:rowOff>
    </xdr:to>
    <xdr:sp macro="" textlink="">
      <xdr:nvSpPr>
        <xdr:cNvPr id="2" name="Rectangle: Top Corners Rounded 1">
          <a:extLst>
            <a:ext uri="{FF2B5EF4-FFF2-40B4-BE49-F238E27FC236}">
              <a16:creationId xmlns:a16="http://schemas.microsoft.com/office/drawing/2014/main" id="{CDCEFC51-9F9F-5AA6-8771-2CEF90684896}"/>
            </a:ext>
          </a:extLst>
        </xdr:cNvPr>
        <xdr:cNvSpPr/>
      </xdr:nvSpPr>
      <xdr:spPr>
        <a:xfrm>
          <a:off x="1" y="0"/>
          <a:ext cx="14535150" cy="1047750"/>
        </a:xfrm>
        <a:prstGeom prst="round2SameRect">
          <a:avLst>
            <a:gd name="adj1" fmla="val 16667"/>
            <a:gd name="adj2" fmla="val 12727"/>
          </a:avLst>
        </a:prstGeom>
        <a:effectLst>
          <a:innerShdw blurRad="114300">
            <a:prstClr val="black"/>
          </a:inn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r"/>
          <a:r>
            <a:rPr lang="en-IN" sz="4000" b="1" i="1">
              <a:solidFill>
                <a:schemeClr val="accent4">
                  <a:lumMod val="50000"/>
                </a:schemeClr>
              </a:solidFill>
            </a:rPr>
            <a:t>HOSPITAL PATIENT TREATMENT</a:t>
          </a:r>
          <a:r>
            <a:rPr lang="en-IN" sz="4000" b="1" i="1" baseline="0">
              <a:solidFill>
                <a:schemeClr val="accent4">
                  <a:lumMod val="50000"/>
                </a:schemeClr>
              </a:solidFill>
            </a:rPr>
            <a:t> DATA  - RECOVERY ANALYSIS</a:t>
          </a:r>
          <a:endParaRPr lang="en-IN" sz="4000" b="1" i="1">
            <a:solidFill>
              <a:schemeClr val="accent4">
                <a:lumMod val="50000"/>
              </a:schemeClr>
            </a:solidFill>
          </a:endParaRPr>
        </a:p>
      </xdr:txBody>
    </xdr:sp>
    <xdr:clientData/>
  </xdr:twoCellAnchor>
  <xdr:twoCellAnchor editAs="oneCell">
    <xdr:from>
      <xdr:col>24</xdr:col>
      <xdr:colOff>590550</xdr:colOff>
      <xdr:row>3</xdr:row>
      <xdr:rowOff>114300</xdr:rowOff>
    </xdr:from>
    <xdr:to>
      <xdr:col>27</xdr:col>
      <xdr:colOff>590550</xdr:colOff>
      <xdr:row>16</xdr:row>
      <xdr:rowOff>161925</xdr:rowOff>
    </xdr:to>
    <mc:AlternateContent xmlns:mc="http://schemas.openxmlformats.org/markup-compatibility/2006" xmlns:a14="http://schemas.microsoft.com/office/drawing/2010/main">
      <mc:Choice Requires="a14">
        <xdr:graphicFrame macro="">
          <xdr:nvGraphicFramePr>
            <xdr:cNvPr id="3" name="Age 1">
              <a:extLst>
                <a:ext uri="{FF2B5EF4-FFF2-40B4-BE49-F238E27FC236}">
                  <a16:creationId xmlns:a16="http://schemas.microsoft.com/office/drawing/2014/main" id="{2E5CC2D7-444C-45F6-84E9-0E09C48B572C}"/>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15220950" y="685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28575</xdr:colOff>
      <xdr:row>18</xdr:row>
      <xdr:rowOff>133350</xdr:rowOff>
    </xdr:from>
    <xdr:to>
      <xdr:col>28</xdr:col>
      <xdr:colOff>47625</xdr:colOff>
      <xdr:row>28</xdr:row>
      <xdr:rowOff>95249</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DFA1825B-B7BB-4C4C-A1EE-BEB99C053E8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5268575" y="3562350"/>
              <a:ext cx="1847850" cy="1866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47625</xdr:colOff>
      <xdr:row>29</xdr:row>
      <xdr:rowOff>180976</xdr:rowOff>
    </xdr:from>
    <xdr:to>
      <xdr:col>28</xdr:col>
      <xdr:colOff>47625</xdr:colOff>
      <xdr:row>38</xdr:row>
      <xdr:rowOff>161926</xdr:rowOff>
    </xdr:to>
    <mc:AlternateContent xmlns:mc="http://schemas.openxmlformats.org/markup-compatibility/2006" xmlns:a14="http://schemas.microsoft.com/office/drawing/2010/main">
      <mc:Choice Requires="a14">
        <xdr:graphicFrame macro="">
          <xdr:nvGraphicFramePr>
            <xdr:cNvPr id="5" name="Doctor Name 1">
              <a:extLst>
                <a:ext uri="{FF2B5EF4-FFF2-40B4-BE49-F238E27FC236}">
                  <a16:creationId xmlns:a16="http://schemas.microsoft.com/office/drawing/2014/main" id="{BF4B6177-1B12-483D-AFDB-44FC5A6C1D9F}"/>
                </a:ext>
              </a:extLst>
            </xdr:cNvPr>
            <xdr:cNvGraphicFramePr/>
          </xdr:nvGraphicFramePr>
          <xdr:xfrm>
            <a:off x="0" y="0"/>
            <a:ext cx="0" cy="0"/>
          </xdr:xfrm>
          <a:graphic>
            <a:graphicData uri="http://schemas.microsoft.com/office/drawing/2010/slicer">
              <sle:slicer xmlns:sle="http://schemas.microsoft.com/office/drawing/2010/slicer" name="Doctor Name 1"/>
            </a:graphicData>
          </a:graphic>
        </xdr:graphicFrame>
      </mc:Choice>
      <mc:Fallback xmlns="">
        <xdr:sp macro="" textlink="">
          <xdr:nvSpPr>
            <xdr:cNvPr id="0" name=""/>
            <xdr:cNvSpPr>
              <a:spLocks noTextEdit="1"/>
            </xdr:cNvSpPr>
          </xdr:nvSpPr>
          <xdr:spPr>
            <a:xfrm>
              <a:off x="15287625" y="5705476"/>
              <a:ext cx="1828800" cy="1695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66675</xdr:colOff>
      <xdr:row>40</xdr:row>
      <xdr:rowOff>1</xdr:rowOff>
    </xdr:from>
    <xdr:to>
      <xdr:col>28</xdr:col>
      <xdr:colOff>66675</xdr:colOff>
      <xdr:row>47</xdr:row>
      <xdr:rowOff>133351</xdr:rowOff>
    </xdr:to>
    <mc:AlternateContent xmlns:mc="http://schemas.openxmlformats.org/markup-compatibility/2006" xmlns:a14="http://schemas.microsoft.com/office/drawing/2010/main">
      <mc:Choice Requires="a14">
        <xdr:graphicFrame macro="">
          <xdr:nvGraphicFramePr>
            <xdr:cNvPr id="6" name="Treatment Type 1">
              <a:extLst>
                <a:ext uri="{FF2B5EF4-FFF2-40B4-BE49-F238E27FC236}">
                  <a16:creationId xmlns:a16="http://schemas.microsoft.com/office/drawing/2014/main" id="{9B175648-8F88-4532-86F7-9664C3BBFE2D}"/>
                </a:ext>
              </a:extLst>
            </xdr:cNvPr>
            <xdr:cNvGraphicFramePr/>
          </xdr:nvGraphicFramePr>
          <xdr:xfrm>
            <a:off x="0" y="0"/>
            <a:ext cx="0" cy="0"/>
          </xdr:xfrm>
          <a:graphic>
            <a:graphicData uri="http://schemas.microsoft.com/office/drawing/2010/slicer">
              <sle:slicer xmlns:sle="http://schemas.microsoft.com/office/drawing/2010/slicer" name="Treatment Type 1"/>
            </a:graphicData>
          </a:graphic>
        </xdr:graphicFrame>
      </mc:Choice>
      <mc:Fallback xmlns="">
        <xdr:sp macro="" textlink="">
          <xdr:nvSpPr>
            <xdr:cNvPr id="0" name=""/>
            <xdr:cNvSpPr>
              <a:spLocks noTextEdit="1"/>
            </xdr:cNvSpPr>
          </xdr:nvSpPr>
          <xdr:spPr>
            <a:xfrm>
              <a:off x="15306675" y="7620001"/>
              <a:ext cx="1828800" cy="1466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76201</xdr:colOff>
      <xdr:row>6</xdr:row>
      <xdr:rowOff>142875</xdr:rowOff>
    </xdr:from>
    <xdr:to>
      <xdr:col>3</xdr:col>
      <xdr:colOff>152401</xdr:colOff>
      <xdr:row>12</xdr:row>
      <xdr:rowOff>142875</xdr:rowOff>
    </xdr:to>
    <xdr:sp macro="" textlink="">
      <xdr:nvSpPr>
        <xdr:cNvPr id="7" name="Rectangle: Rounded Corners 6">
          <a:extLst>
            <a:ext uri="{FF2B5EF4-FFF2-40B4-BE49-F238E27FC236}">
              <a16:creationId xmlns:a16="http://schemas.microsoft.com/office/drawing/2014/main" id="{8904BF13-EFF9-F979-09C7-569BF9C00149}"/>
            </a:ext>
          </a:extLst>
        </xdr:cNvPr>
        <xdr:cNvSpPr/>
      </xdr:nvSpPr>
      <xdr:spPr>
        <a:xfrm>
          <a:off x="76201" y="1285875"/>
          <a:ext cx="1905000" cy="1143000"/>
        </a:xfrm>
        <a:prstGeom prst="roundRect">
          <a:avLst/>
        </a:prstGeom>
        <a:effectLst>
          <a:innerShdw blurRad="114300">
            <a:prstClr val="black"/>
          </a:innerShdw>
        </a:effectLst>
      </xdr:spPr>
      <xdr:style>
        <a:lnRef idx="1">
          <a:schemeClr val="accent4"/>
        </a:lnRef>
        <a:fillRef idx="2">
          <a:schemeClr val="accent4"/>
        </a:fillRef>
        <a:effectRef idx="1">
          <a:schemeClr val="accent4"/>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IN" sz="2000" b="1">
              <a:solidFill>
                <a:schemeClr val="accent4">
                  <a:lumMod val="50000"/>
                </a:schemeClr>
              </a:solidFill>
              <a:latin typeface="+mn-lt"/>
              <a:ea typeface="+mn-ea"/>
              <a:cs typeface="+mn-cs"/>
            </a:rPr>
            <a:t>Patients Count</a:t>
          </a:r>
        </a:p>
      </xdr:txBody>
    </xdr:sp>
    <xdr:clientData/>
  </xdr:twoCellAnchor>
  <xdr:oneCellAnchor>
    <xdr:from>
      <xdr:col>0</xdr:col>
      <xdr:colOff>190500</xdr:colOff>
      <xdr:row>9</xdr:row>
      <xdr:rowOff>66675</xdr:rowOff>
    </xdr:from>
    <xdr:ext cx="1743075" cy="374141"/>
    <xdr:sp macro="" textlink="Pivot_table!A4">
      <xdr:nvSpPr>
        <xdr:cNvPr id="8" name="TextBox 7">
          <a:extLst>
            <a:ext uri="{FF2B5EF4-FFF2-40B4-BE49-F238E27FC236}">
              <a16:creationId xmlns:a16="http://schemas.microsoft.com/office/drawing/2014/main" id="{5CFA7A59-3E65-DC5C-FC95-AEA68F281BE9}"/>
            </a:ext>
          </a:extLst>
        </xdr:cNvPr>
        <xdr:cNvSpPr txBox="1"/>
      </xdr:nvSpPr>
      <xdr:spPr>
        <a:xfrm>
          <a:off x="190500" y="1781175"/>
          <a:ext cx="174307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B73DAE1D-C73E-4244-A08A-4235652303A1}" type="TxLink">
            <a:rPr lang="en-US" sz="1800" b="1" i="0" u="none" strike="noStrike">
              <a:solidFill>
                <a:srgbClr val="000000"/>
              </a:solidFill>
              <a:latin typeface="Calibri"/>
              <a:ea typeface="Calibri"/>
              <a:cs typeface="Calibri"/>
            </a:rPr>
            <a:pPr algn="ctr"/>
            <a:t>500</a:t>
          </a:fld>
          <a:endParaRPr lang="en-IN" sz="1800"/>
        </a:p>
      </xdr:txBody>
    </xdr:sp>
    <xdr:clientData/>
  </xdr:oneCellAnchor>
  <xdr:twoCellAnchor>
    <xdr:from>
      <xdr:col>3</xdr:col>
      <xdr:colOff>390525</xdr:colOff>
      <xdr:row>6</xdr:row>
      <xdr:rowOff>133350</xdr:rowOff>
    </xdr:from>
    <xdr:to>
      <xdr:col>8</xdr:col>
      <xdr:colOff>390525</xdr:colOff>
      <xdr:row>12</xdr:row>
      <xdr:rowOff>133350</xdr:rowOff>
    </xdr:to>
    <xdr:sp macro="" textlink="">
      <xdr:nvSpPr>
        <xdr:cNvPr id="9" name="Rectangle: Rounded Corners 8">
          <a:extLst>
            <a:ext uri="{FF2B5EF4-FFF2-40B4-BE49-F238E27FC236}">
              <a16:creationId xmlns:a16="http://schemas.microsoft.com/office/drawing/2014/main" id="{17B6817D-3215-43E1-8C12-B7FA7F380B63}"/>
            </a:ext>
          </a:extLst>
        </xdr:cNvPr>
        <xdr:cNvSpPr/>
      </xdr:nvSpPr>
      <xdr:spPr>
        <a:xfrm>
          <a:off x="2219325" y="1276350"/>
          <a:ext cx="3048000" cy="1143000"/>
        </a:xfrm>
        <a:prstGeom prst="roundRect">
          <a:avLst/>
        </a:prstGeom>
        <a:effectLst>
          <a:innerShdw blurRad="114300">
            <a:prstClr val="black"/>
          </a:innerShdw>
        </a:effectLst>
      </xdr:spPr>
      <xdr:style>
        <a:lnRef idx="1">
          <a:schemeClr val="accent4"/>
        </a:lnRef>
        <a:fillRef idx="2">
          <a:schemeClr val="accent4"/>
        </a:fillRef>
        <a:effectRef idx="1">
          <a:schemeClr val="accent4"/>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IN" sz="2000" b="1">
              <a:solidFill>
                <a:schemeClr val="accent4">
                  <a:lumMod val="50000"/>
                </a:schemeClr>
              </a:solidFill>
              <a:latin typeface="+mn-lt"/>
              <a:ea typeface="+mn-ea"/>
              <a:cs typeface="+mn-cs"/>
            </a:rPr>
            <a:t>Average</a:t>
          </a:r>
          <a:r>
            <a:rPr lang="en-IN" sz="2000" b="1" baseline="0">
              <a:solidFill>
                <a:schemeClr val="accent4">
                  <a:lumMod val="50000"/>
                </a:schemeClr>
              </a:solidFill>
              <a:latin typeface="+mn-lt"/>
              <a:ea typeface="+mn-ea"/>
              <a:cs typeface="+mn-cs"/>
            </a:rPr>
            <a:t> Treatment Cost</a:t>
          </a:r>
          <a:endParaRPr lang="en-IN" sz="2000" b="1">
            <a:solidFill>
              <a:schemeClr val="accent4">
                <a:lumMod val="50000"/>
              </a:schemeClr>
            </a:solidFill>
            <a:latin typeface="+mn-lt"/>
            <a:ea typeface="+mn-ea"/>
            <a:cs typeface="+mn-cs"/>
          </a:endParaRPr>
        </a:p>
      </xdr:txBody>
    </xdr:sp>
    <xdr:clientData/>
  </xdr:twoCellAnchor>
  <xdr:twoCellAnchor>
    <xdr:from>
      <xdr:col>9</xdr:col>
      <xdr:colOff>28575</xdr:colOff>
      <xdr:row>6</xdr:row>
      <xdr:rowOff>114300</xdr:rowOff>
    </xdr:from>
    <xdr:to>
      <xdr:col>12</xdr:col>
      <xdr:colOff>104775</xdr:colOff>
      <xdr:row>12</xdr:row>
      <xdr:rowOff>114300</xdr:rowOff>
    </xdr:to>
    <xdr:sp macro="" textlink="">
      <xdr:nvSpPr>
        <xdr:cNvPr id="10" name="Rectangle: Rounded Corners 9">
          <a:extLst>
            <a:ext uri="{FF2B5EF4-FFF2-40B4-BE49-F238E27FC236}">
              <a16:creationId xmlns:a16="http://schemas.microsoft.com/office/drawing/2014/main" id="{69D7687D-93CC-4E7A-A35E-4A0CA157CF89}"/>
            </a:ext>
          </a:extLst>
        </xdr:cNvPr>
        <xdr:cNvSpPr/>
      </xdr:nvSpPr>
      <xdr:spPr>
        <a:xfrm>
          <a:off x="5514975" y="1257300"/>
          <a:ext cx="1905000" cy="1143000"/>
        </a:xfrm>
        <a:prstGeom prst="roundRect">
          <a:avLst/>
        </a:prstGeom>
        <a:effectLst>
          <a:innerShdw blurRad="114300">
            <a:prstClr val="black"/>
          </a:innerShdw>
        </a:effectLst>
      </xdr:spPr>
      <xdr:style>
        <a:lnRef idx="1">
          <a:schemeClr val="accent4"/>
        </a:lnRef>
        <a:fillRef idx="2">
          <a:schemeClr val="accent4"/>
        </a:fillRef>
        <a:effectRef idx="1">
          <a:schemeClr val="accent4"/>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IN" sz="2000" b="1">
              <a:solidFill>
                <a:schemeClr val="accent4">
                  <a:lumMod val="50000"/>
                </a:schemeClr>
              </a:solidFill>
              <a:latin typeface="+mn-lt"/>
              <a:ea typeface="+mn-ea"/>
              <a:cs typeface="+mn-cs"/>
            </a:rPr>
            <a:t>Average</a:t>
          </a:r>
          <a:r>
            <a:rPr lang="en-IN" sz="2000" b="1" baseline="0">
              <a:solidFill>
                <a:schemeClr val="accent4">
                  <a:lumMod val="50000"/>
                </a:schemeClr>
              </a:solidFill>
              <a:latin typeface="+mn-lt"/>
              <a:ea typeface="+mn-ea"/>
              <a:cs typeface="+mn-cs"/>
            </a:rPr>
            <a:t> Age</a:t>
          </a:r>
          <a:endParaRPr lang="en-IN" sz="2000" b="1">
            <a:solidFill>
              <a:schemeClr val="accent4">
                <a:lumMod val="50000"/>
              </a:schemeClr>
            </a:solidFill>
            <a:latin typeface="+mn-lt"/>
            <a:ea typeface="+mn-ea"/>
            <a:cs typeface="+mn-cs"/>
          </a:endParaRPr>
        </a:p>
      </xdr:txBody>
    </xdr:sp>
    <xdr:clientData/>
  </xdr:twoCellAnchor>
  <xdr:twoCellAnchor>
    <xdr:from>
      <xdr:col>12</xdr:col>
      <xdr:colOff>352424</xdr:colOff>
      <xdr:row>6</xdr:row>
      <xdr:rowOff>114300</xdr:rowOff>
    </xdr:from>
    <xdr:to>
      <xdr:col>17</xdr:col>
      <xdr:colOff>152399</xdr:colOff>
      <xdr:row>12</xdr:row>
      <xdr:rowOff>114300</xdr:rowOff>
    </xdr:to>
    <xdr:sp macro="" textlink="">
      <xdr:nvSpPr>
        <xdr:cNvPr id="11" name="Rectangle: Rounded Corners 10">
          <a:extLst>
            <a:ext uri="{FF2B5EF4-FFF2-40B4-BE49-F238E27FC236}">
              <a16:creationId xmlns:a16="http://schemas.microsoft.com/office/drawing/2014/main" id="{2764EFCC-2609-4D91-B815-4A8648A6D8E8}"/>
            </a:ext>
          </a:extLst>
        </xdr:cNvPr>
        <xdr:cNvSpPr/>
      </xdr:nvSpPr>
      <xdr:spPr>
        <a:xfrm>
          <a:off x="7667624" y="1257300"/>
          <a:ext cx="2847975" cy="1143000"/>
        </a:xfrm>
        <a:prstGeom prst="roundRect">
          <a:avLst/>
        </a:prstGeom>
        <a:effectLst>
          <a:innerShdw blurRad="114300">
            <a:prstClr val="black"/>
          </a:innerShdw>
        </a:effectLst>
      </xdr:spPr>
      <xdr:style>
        <a:lnRef idx="1">
          <a:schemeClr val="accent4"/>
        </a:lnRef>
        <a:fillRef idx="2">
          <a:schemeClr val="accent4"/>
        </a:fillRef>
        <a:effectRef idx="1">
          <a:schemeClr val="accent4"/>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IN" sz="2000" b="1">
              <a:solidFill>
                <a:schemeClr val="accent4">
                  <a:lumMod val="50000"/>
                </a:schemeClr>
              </a:solidFill>
              <a:latin typeface="+mn-lt"/>
              <a:ea typeface="+mn-ea"/>
              <a:cs typeface="+mn-cs"/>
            </a:rPr>
            <a:t>Average</a:t>
          </a:r>
          <a:r>
            <a:rPr lang="en-IN" sz="2000" b="1" baseline="0">
              <a:solidFill>
                <a:schemeClr val="accent4">
                  <a:lumMod val="50000"/>
                </a:schemeClr>
              </a:solidFill>
              <a:latin typeface="+mn-lt"/>
              <a:ea typeface="+mn-ea"/>
              <a:cs typeface="+mn-cs"/>
            </a:rPr>
            <a:t> Hospital Stay</a:t>
          </a:r>
          <a:endParaRPr lang="en-IN" sz="2000" b="1">
            <a:solidFill>
              <a:schemeClr val="accent4">
                <a:lumMod val="50000"/>
              </a:schemeClr>
            </a:solidFill>
            <a:latin typeface="+mn-lt"/>
            <a:ea typeface="+mn-ea"/>
            <a:cs typeface="+mn-cs"/>
          </a:endParaRPr>
        </a:p>
      </xdr:txBody>
    </xdr:sp>
    <xdr:clientData/>
  </xdr:twoCellAnchor>
  <xdr:twoCellAnchor>
    <xdr:from>
      <xdr:col>17</xdr:col>
      <xdr:colOff>495299</xdr:colOff>
      <xdr:row>6</xdr:row>
      <xdr:rowOff>142875</xdr:rowOff>
    </xdr:from>
    <xdr:to>
      <xdr:col>22</xdr:col>
      <xdr:colOff>47624</xdr:colOff>
      <xdr:row>12</xdr:row>
      <xdr:rowOff>142875</xdr:rowOff>
    </xdr:to>
    <xdr:sp macro="" textlink="">
      <xdr:nvSpPr>
        <xdr:cNvPr id="12" name="Rectangle: Rounded Corners 11">
          <a:extLst>
            <a:ext uri="{FF2B5EF4-FFF2-40B4-BE49-F238E27FC236}">
              <a16:creationId xmlns:a16="http://schemas.microsoft.com/office/drawing/2014/main" id="{F2CAC4CB-9440-47B2-B21F-7D8E75A27501}"/>
            </a:ext>
          </a:extLst>
        </xdr:cNvPr>
        <xdr:cNvSpPr/>
      </xdr:nvSpPr>
      <xdr:spPr>
        <a:xfrm>
          <a:off x="10858499" y="1285875"/>
          <a:ext cx="2600325" cy="1143000"/>
        </a:xfrm>
        <a:prstGeom prst="roundRect">
          <a:avLst/>
        </a:prstGeom>
        <a:effectLst>
          <a:innerShdw blurRad="114300">
            <a:prstClr val="black"/>
          </a:innerShdw>
        </a:effectLst>
      </xdr:spPr>
      <xdr:style>
        <a:lnRef idx="1">
          <a:schemeClr val="accent4"/>
        </a:lnRef>
        <a:fillRef idx="2">
          <a:schemeClr val="accent4"/>
        </a:fillRef>
        <a:effectRef idx="1">
          <a:schemeClr val="accent4"/>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IN" sz="2000" b="1">
              <a:solidFill>
                <a:schemeClr val="accent4">
                  <a:lumMod val="50000"/>
                </a:schemeClr>
              </a:solidFill>
              <a:latin typeface="+mn-lt"/>
              <a:ea typeface="+mn-ea"/>
              <a:cs typeface="+mn-cs"/>
            </a:rPr>
            <a:t>Avg</a:t>
          </a:r>
          <a:r>
            <a:rPr lang="en-IN" sz="2000" b="1" baseline="0">
              <a:solidFill>
                <a:schemeClr val="accent4">
                  <a:lumMod val="50000"/>
                </a:schemeClr>
              </a:solidFill>
              <a:latin typeface="+mn-lt"/>
              <a:ea typeface="+mn-ea"/>
              <a:cs typeface="+mn-cs"/>
            </a:rPr>
            <a:t> Recovery Score</a:t>
          </a:r>
          <a:endParaRPr lang="en-IN" sz="2000" b="1">
            <a:solidFill>
              <a:schemeClr val="accent4">
                <a:lumMod val="50000"/>
              </a:schemeClr>
            </a:solidFill>
            <a:latin typeface="+mn-lt"/>
            <a:ea typeface="+mn-ea"/>
            <a:cs typeface="+mn-cs"/>
          </a:endParaRPr>
        </a:p>
      </xdr:txBody>
    </xdr:sp>
    <xdr:clientData/>
  </xdr:twoCellAnchor>
  <xdr:oneCellAnchor>
    <xdr:from>
      <xdr:col>4</xdr:col>
      <xdr:colOff>409575</xdr:colOff>
      <xdr:row>9</xdr:row>
      <xdr:rowOff>85725</xdr:rowOff>
    </xdr:from>
    <xdr:ext cx="1743075" cy="374141"/>
    <xdr:sp macro="" textlink="Pivot_table!B4">
      <xdr:nvSpPr>
        <xdr:cNvPr id="13" name="TextBox 12">
          <a:extLst>
            <a:ext uri="{FF2B5EF4-FFF2-40B4-BE49-F238E27FC236}">
              <a16:creationId xmlns:a16="http://schemas.microsoft.com/office/drawing/2014/main" id="{94B9C39A-9658-46F5-8FCD-9D24375BE97C}"/>
            </a:ext>
          </a:extLst>
        </xdr:cNvPr>
        <xdr:cNvSpPr txBox="1"/>
      </xdr:nvSpPr>
      <xdr:spPr>
        <a:xfrm>
          <a:off x="2847975" y="1800225"/>
          <a:ext cx="174307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fld id="{B332707E-B31D-4004-9559-14855B0BE84D}" type="TxLink">
            <a:rPr lang="en-US" sz="1800" b="1" i="0" u="none" strike="noStrike">
              <a:solidFill>
                <a:srgbClr val="000000"/>
              </a:solidFill>
              <a:latin typeface="Calibri"/>
              <a:ea typeface="Calibri"/>
              <a:cs typeface="Calibri"/>
            </a:rPr>
            <a:pPr marL="0" indent="0" algn="ctr"/>
            <a:t>100384.36</a:t>
          </a:fld>
          <a:endParaRPr lang="en-IN" sz="1800" b="1" i="0" u="none" strike="noStrike">
            <a:solidFill>
              <a:srgbClr val="000000"/>
            </a:solidFill>
            <a:latin typeface="Calibri"/>
            <a:ea typeface="Calibri"/>
            <a:cs typeface="Calibri"/>
          </a:endParaRPr>
        </a:p>
      </xdr:txBody>
    </xdr:sp>
    <xdr:clientData/>
  </xdr:oneCellAnchor>
  <xdr:oneCellAnchor>
    <xdr:from>
      <xdr:col>9</xdr:col>
      <xdr:colOff>142875</xdr:colOff>
      <xdr:row>9</xdr:row>
      <xdr:rowOff>76200</xdr:rowOff>
    </xdr:from>
    <xdr:ext cx="1743075" cy="374141"/>
    <xdr:sp macro="" textlink="Pivot_table!C4">
      <xdr:nvSpPr>
        <xdr:cNvPr id="14" name="TextBox 13">
          <a:extLst>
            <a:ext uri="{FF2B5EF4-FFF2-40B4-BE49-F238E27FC236}">
              <a16:creationId xmlns:a16="http://schemas.microsoft.com/office/drawing/2014/main" id="{AF2B8FAD-1BCD-440B-8917-5FE335A82A32}"/>
            </a:ext>
          </a:extLst>
        </xdr:cNvPr>
        <xdr:cNvSpPr txBox="1"/>
      </xdr:nvSpPr>
      <xdr:spPr>
        <a:xfrm>
          <a:off x="5629275" y="1790700"/>
          <a:ext cx="174307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fld id="{F1CB396D-21A8-4BAA-B919-E96C30323CC1}" type="TxLink">
            <a:rPr lang="en-US" sz="1800" b="1" i="0" u="none" strike="noStrike">
              <a:solidFill>
                <a:srgbClr val="000000"/>
              </a:solidFill>
              <a:latin typeface="Calibri"/>
              <a:ea typeface="Calibri"/>
              <a:cs typeface="Calibri"/>
            </a:rPr>
            <a:pPr marL="0" indent="0" algn="ctr"/>
            <a:t>45.67</a:t>
          </a:fld>
          <a:endParaRPr lang="en-IN" sz="1800" b="1" i="0" u="none" strike="noStrike">
            <a:solidFill>
              <a:srgbClr val="000000"/>
            </a:solidFill>
            <a:latin typeface="Calibri"/>
            <a:ea typeface="Calibri"/>
            <a:cs typeface="Calibri"/>
          </a:endParaRPr>
        </a:p>
      </xdr:txBody>
    </xdr:sp>
    <xdr:clientData/>
  </xdr:oneCellAnchor>
  <xdr:oneCellAnchor>
    <xdr:from>
      <xdr:col>13</xdr:col>
      <xdr:colOff>352424</xdr:colOff>
      <xdr:row>9</xdr:row>
      <xdr:rowOff>57150</xdr:rowOff>
    </xdr:from>
    <xdr:ext cx="1743075" cy="374141"/>
    <xdr:sp macro="" textlink="Pivot_table!D4">
      <xdr:nvSpPr>
        <xdr:cNvPr id="15" name="TextBox 14">
          <a:extLst>
            <a:ext uri="{FF2B5EF4-FFF2-40B4-BE49-F238E27FC236}">
              <a16:creationId xmlns:a16="http://schemas.microsoft.com/office/drawing/2014/main" id="{66C0405F-2169-4457-9E19-6A499B94CE8D}"/>
            </a:ext>
          </a:extLst>
        </xdr:cNvPr>
        <xdr:cNvSpPr txBox="1"/>
      </xdr:nvSpPr>
      <xdr:spPr>
        <a:xfrm>
          <a:off x="8277224" y="1771650"/>
          <a:ext cx="174307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fld id="{F6F61E89-F3FF-444C-841B-8AE95AAF3980}" type="TxLink">
            <a:rPr lang="en-US" sz="1800" b="1" i="0" u="none" strike="noStrike">
              <a:solidFill>
                <a:srgbClr val="000000"/>
              </a:solidFill>
              <a:latin typeface="Calibri"/>
              <a:ea typeface="Calibri"/>
              <a:cs typeface="Calibri"/>
            </a:rPr>
            <a:pPr marL="0" indent="0" algn="ctr"/>
            <a:t>15.77</a:t>
          </a:fld>
          <a:endParaRPr lang="en-IN" sz="1800" b="1" i="0" u="none" strike="noStrike">
            <a:solidFill>
              <a:srgbClr val="000000"/>
            </a:solidFill>
            <a:latin typeface="Calibri"/>
            <a:ea typeface="Calibri"/>
            <a:cs typeface="Calibri"/>
          </a:endParaRPr>
        </a:p>
      </xdr:txBody>
    </xdr:sp>
    <xdr:clientData/>
  </xdr:oneCellAnchor>
  <xdr:oneCellAnchor>
    <xdr:from>
      <xdr:col>18</xdr:col>
      <xdr:colOff>361949</xdr:colOff>
      <xdr:row>9</xdr:row>
      <xdr:rowOff>95250</xdr:rowOff>
    </xdr:from>
    <xdr:ext cx="1743075" cy="374141"/>
    <xdr:sp macro="" textlink="Pivot_table!E4">
      <xdr:nvSpPr>
        <xdr:cNvPr id="16" name="TextBox 15">
          <a:extLst>
            <a:ext uri="{FF2B5EF4-FFF2-40B4-BE49-F238E27FC236}">
              <a16:creationId xmlns:a16="http://schemas.microsoft.com/office/drawing/2014/main" id="{80A962FF-4688-444A-8C5A-DC328DF9E6DF}"/>
            </a:ext>
          </a:extLst>
        </xdr:cNvPr>
        <xdr:cNvSpPr txBox="1"/>
      </xdr:nvSpPr>
      <xdr:spPr>
        <a:xfrm>
          <a:off x="11334749" y="1809750"/>
          <a:ext cx="174307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fld id="{69D8456F-0458-4651-9D41-86D2D3A596FE}" type="TxLink">
            <a:rPr lang="en-US" sz="1800" b="1" i="0" u="none" strike="noStrike">
              <a:solidFill>
                <a:srgbClr val="000000"/>
              </a:solidFill>
              <a:latin typeface="Calibri"/>
              <a:ea typeface="Calibri"/>
              <a:cs typeface="Calibri"/>
            </a:rPr>
            <a:pPr marL="0" indent="0" algn="ctr"/>
            <a:t>70.13</a:t>
          </a:fld>
          <a:endParaRPr lang="en-IN" sz="1800" b="1" i="0" u="none" strike="noStrike">
            <a:solidFill>
              <a:srgbClr val="000000"/>
            </a:solidFill>
            <a:latin typeface="Calibri"/>
            <a:ea typeface="Calibri"/>
            <a:cs typeface="Calibri"/>
          </a:endParaRPr>
        </a:p>
      </xdr:txBody>
    </xdr:sp>
    <xdr:clientData/>
  </xdr:oneCellAnchor>
  <xdr:twoCellAnchor>
    <xdr:from>
      <xdr:col>0</xdr:col>
      <xdr:colOff>0</xdr:colOff>
      <xdr:row>13</xdr:row>
      <xdr:rowOff>114300</xdr:rowOff>
    </xdr:from>
    <xdr:to>
      <xdr:col>7</xdr:col>
      <xdr:colOff>180974</xdr:colOff>
      <xdr:row>29</xdr:row>
      <xdr:rowOff>47625</xdr:rowOff>
    </xdr:to>
    <xdr:graphicFrame macro="">
      <xdr:nvGraphicFramePr>
        <xdr:cNvPr id="17" name="Chart 16">
          <a:extLst>
            <a:ext uri="{FF2B5EF4-FFF2-40B4-BE49-F238E27FC236}">
              <a16:creationId xmlns:a16="http://schemas.microsoft.com/office/drawing/2014/main" id="{35FB8503-9403-45EA-818A-A613F45FF5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504824</xdr:colOff>
      <xdr:row>13</xdr:row>
      <xdr:rowOff>104774</xdr:rowOff>
    </xdr:from>
    <xdr:to>
      <xdr:col>15</xdr:col>
      <xdr:colOff>114300</xdr:colOff>
      <xdr:row>29</xdr:row>
      <xdr:rowOff>28575</xdr:rowOff>
    </xdr:to>
    <xdr:graphicFrame macro="">
      <xdr:nvGraphicFramePr>
        <xdr:cNvPr id="18" name="Chart 17">
          <a:extLst>
            <a:ext uri="{FF2B5EF4-FFF2-40B4-BE49-F238E27FC236}">
              <a16:creationId xmlns:a16="http://schemas.microsoft.com/office/drawing/2014/main" id="{9D054628-4776-4383-9B25-DF53060B4A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400049</xdr:colOff>
      <xdr:row>13</xdr:row>
      <xdr:rowOff>95250</xdr:rowOff>
    </xdr:from>
    <xdr:to>
      <xdr:col>23</xdr:col>
      <xdr:colOff>257174</xdr:colOff>
      <xdr:row>29</xdr:row>
      <xdr:rowOff>19050</xdr:rowOff>
    </xdr:to>
    <mc:AlternateContent xmlns:mc="http://schemas.openxmlformats.org/markup-compatibility/2006">
      <mc:Choice xmlns:cx2="http://schemas.microsoft.com/office/drawing/2015/10/21/chartex" Requires="cx2">
        <xdr:graphicFrame macro="">
          <xdr:nvGraphicFramePr>
            <xdr:cNvPr id="19" name="Chart 18">
              <a:extLst>
                <a:ext uri="{FF2B5EF4-FFF2-40B4-BE49-F238E27FC236}">
                  <a16:creationId xmlns:a16="http://schemas.microsoft.com/office/drawing/2014/main" id="{C6DDA5E5-FFE4-4678-B311-14D81D619EA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544049" y="2571750"/>
              <a:ext cx="4733925" cy="29718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32</xdr:row>
      <xdr:rowOff>0</xdr:rowOff>
    </xdr:from>
    <xdr:to>
      <xdr:col>6</xdr:col>
      <xdr:colOff>447675</xdr:colOff>
      <xdr:row>47</xdr:row>
      <xdr:rowOff>142875</xdr:rowOff>
    </xdr:to>
    <xdr:graphicFrame macro="">
      <xdr:nvGraphicFramePr>
        <xdr:cNvPr id="20" name="Chart 19">
          <a:extLst>
            <a:ext uri="{FF2B5EF4-FFF2-40B4-BE49-F238E27FC236}">
              <a16:creationId xmlns:a16="http://schemas.microsoft.com/office/drawing/2014/main" id="{9F36641F-74A1-4217-8A49-CC54C6CDFC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19050</xdr:colOff>
      <xdr:row>32</xdr:row>
      <xdr:rowOff>9523</xdr:rowOff>
    </xdr:from>
    <xdr:to>
      <xdr:col>14</xdr:col>
      <xdr:colOff>495300</xdr:colOff>
      <xdr:row>47</xdr:row>
      <xdr:rowOff>123825</xdr:rowOff>
    </xdr:to>
    <xdr:graphicFrame macro="">
      <xdr:nvGraphicFramePr>
        <xdr:cNvPr id="21" name="Chart 20">
          <a:extLst>
            <a:ext uri="{FF2B5EF4-FFF2-40B4-BE49-F238E27FC236}">
              <a16:creationId xmlns:a16="http://schemas.microsoft.com/office/drawing/2014/main" id="{9D1A4BF0-C31A-45FE-B92F-16EDD627E2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285751</xdr:colOff>
      <xdr:row>0</xdr:row>
      <xdr:rowOff>47625</xdr:rowOff>
    </xdr:from>
    <xdr:to>
      <xdr:col>2</xdr:col>
      <xdr:colOff>0</xdr:colOff>
      <xdr:row>5</xdr:row>
      <xdr:rowOff>55436</xdr:rowOff>
    </xdr:to>
    <xdr:pic>
      <xdr:nvPicPr>
        <xdr:cNvPr id="22" name="Picture 21">
          <a:extLst>
            <a:ext uri="{FF2B5EF4-FFF2-40B4-BE49-F238E27FC236}">
              <a16:creationId xmlns:a16="http://schemas.microsoft.com/office/drawing/2014/main" id="{E4CC334D-F7B2-D2BE-6AD0-25C2ED5F9334}"/>
            </a:ext>
          </a:extLst>
        </xdr:cNvPr>
        <xdr:cNvPicPr>
          <a:picLocks noChangeAspect="1"/>
        </xdr:cNvPicPr>
      </xdr:nvPicPr>
      <xdr:blipFill>
        <a:blip xmlns:r="http://schemas.openxmlformats.org/officeDocument/2006/relationships" r:embed="rId6"/>
        <a:stretch>
          <a:fillRect/>
        </a:stretch>
      </xdr:blipFill>
      <xdr:spPr>
        <a:xfrm>
          <a:off x="285751" y="47625"/>
          <a:ext cx="933449" cy="960311"/>
        </a:xfrm>
        <a:prstGeom prst="rect">
          <a:avLst/>
        </a:prstGeom>
      </xdr:spPr>
    </xdr:pic>
    <xdr:clientData/>
  </xdr:twoCellAnchor>
  <xdr:twoCellAnchor editAs="oneCell">
    <xdr:from>
      <xdr:col>0</xdr:col>
      <xdr:colOff>266700</xdr:colOff>
      <xdr:row>9</xdr:row>
      <xdr:rowOff>38100</xdr:rowOff>
    </xdr:from>
    <xdr:to>
      <xdr:col>1</xdr:col>
      <xdr:colOff>142875</xdr:colOff>
      <xdr:row>11</xdr:row>
      <xdr:rowOff>142875</xdr:rowOff>
    </xdr:to>
    <xdr:pic>
      <xdr:nvPicPr>
        <xdr:cNvPr id="24" name="Graphic 23" descr="Users with solid fill">
          <a:extLst>
            <a:ext uri="{FF2B5EF4-FFF2-40B4-BE49-F238E27FC236}">
              <a16:creationId xmlns:a16="http://schemas.microsoft.com/office/drawing/2014/main" id="{B69EE0BE-7BD8-0EE0-E56F-08018098554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6700" y="1752600"/>
          <a:ext cx="485775" cy="485775"/>
        </a:xfrm>
        <a:prstGeom prst="rect">
          <a:avLst/>
        </a:prstGeom>
      </xdr:spPr>
    </xdr:pic>
    <xdr:clientData/>
  </xdr:twoCellAnchor>
  <xdr:twoCellAnchor editAs="oneCell">
    <xdr:from>
      <xdr:col>4</xdr:col>
      <xdr:colOff>142876</xdr:colOff>
      <xdr:row>9</xdr:row>
      <xdr:rowOff>38101</xdr:rowOff>
    </xdr:from>
    <xdr:to>
      <xdr:col>4</xdr:col>
      <xdr:colOff>523876</xdr:colOff>
      <xdr:row>11</xdr:row>
      <xdr:rowOff>38101</xdr:rowOff>
    </xdr:to>
    <xdr:pic>
      <xdr:nvPicPr>
        <xdr:cNvPr id="26" name="Graphic 25" descr="Money with solid fill">
          <a:extLst>
            <a:ext uri="{FF2B5EF4-FFF2-40B4-BE49-F238E27FC236}">
              <a16:creationId xmlns:a16="http://schemas.microsoft.com/office/drawing/2014/main" id="{55E37D21-EFD0-4897-092D-EBAC31B558F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581276" y="1752601"/>
          <a:ext cx="381000" cy="381000"/>
        </a:xfrm>
        <a:prstGeom prst="rect">
          <a:avLst/>
        </a:prstGeom>
      </xdr:spPr>
    </xdr:pic>
    <xdr:clientData/>
  </xdr:twoCellAnchor>
  <xdr:twoCellAnchor editAs="oneCell">
    <xdr:from>
      <xdr:col>18</xdr:col>
      <xdr:colOff>219075</xdr:colOff>
      <xdr:row>9</xdr:row>
      <xdr:rowOff>9525</xdr:rowOff>
    </xdr:from>
    <xdr:to>
      <xdr:col>19</xdr:col>
      <xdr:colOff>123825</xdr:colOff>
      <xdr:row>11</xdr:row>
      <xdr:rowOff>142875</xdr:rowOff>
    </xdr:to>
    <xdr:pic>
      <xdr:nvPicPr>
        <xdr:cNvPr id="28" name="Graphic 27" descr="Heart with pulse with solid fill">
          <a:extLst>
            <a:ext uri="{FF2B5EF4-FFF2-40B4-BE49-F238E27FC236}">
              <a16:creationId xmlns:a16="http://schemas.microsoft.com/office/drawing/2014/main" id="{38B00D99-5000-0F5F-AE06-5A50B57A8FE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191875" y="1724025"/>
          <a:ext cx="514350" cy="514350"/>
        </a:xfrm>
        <a:prstGeom prst="rect">
          <a:avLst/>
        </a:prstGeom>
      </xdr:spPr>
    </xdr:pic>
    <xdr:clientData/>
  </xdr:twoCellAnchor>
  <xdr:twoCellAnchor editAs="oneCell">
    <xdr:from>
      <xdr:col>13</xdr:col>
      <xdr:colOff>57150</xdr:colOff>
      <xdr:row>9</xdr:row>
      <xdr:rowOff>28575</xdr:rowOff>
    </xdr:from>
    <xdr:to>
      <xdr:col>13</xdr:col>
      <xdr:colOff>447675</xdr:colOff>
      <xdr:row>11</xdr:row>
      <xdr:rowOff>38100</xdr:rowOff>
    </xdr:to>
    <xdr:pic>
      <xdr:nvPicPr>
        <xdr:cNvPr id="30" name="Graphic 29" descr="Hourglass Finished with solid fill">
          <a:extLst>
            <a:ext uri="{FF2B5EF4-FFF2-40B4-BE49-F238E27FC236}">
              <a16:creationId xmlns:a16="http://schemas.microsoft.com/office/drawing/2014/main" id="{32F67FE5-9519-6E11-8AE0-D2D6CCA6041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981950" y="1743075"/>
          <a:ext cx="390525" cy="390525"/>
        </a:xfrm>
        <a:prstGeom prst="rect">
          <a:avLst/>
        </a:prstGeom>
      </xdr:spPr>
    </xdr:pic>
    <xdr:clientData/>
  </xdr:twoCellAnchor>
  <xdr:twoCellAnchor editAs="oneCell">
    <xdr:from>
      <xdr:col>9</xdr:col>
      <xdr:colOff>276225</xdr:colOff>
      <xdr:row>9</xdr:row>
      <xdr:rowOff>66675</xdr:rowOff>
    </xdr:from>
    <xdr:to>
      <xdr:col>10</xdr:col>
      <xdr:colOff>85725</xdr:colOff>
      <xdr:row>11</xdr:row>
      <xdr:rowOff>104775</xdr:rowOff>
    </xdr:to>
    <xdr:pic>
      <xdr:nvPicPr>
        <xdr:cNvPr id="32" name="Graphic 31" descr="Confused person with solid fill">
          <a:extLst>
            <a:ext uri="{FF2B5EF4-FFF2-40B4-BE49-F238E27FC236}">
              <a16:creationId xmlns:a16="http://schemas.microsoft.com/office/drawing/2014/main" id="{3141A664-06E7-C547-19E0-153FAC6EDD6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5762625" y="1781175"/>
          <a:ext cx="419100" cy="419100"/>
        </a:xfrm>
        <a:prstGeom prst="rect">
          <a:avLst/>
        </a:prstGeom>
      </xdr:spPr>
    </xdr:pic>
    <xdr:clientData/>
  </xdr:twoCellAnchor>
  <xdr:twoCellAnchor>
    <xdr:from>
      <xdr:col>15</xdr:col>
      <xdr:colOff>609599</xdr:colOff>
      <xdr:row>32</xdr:row>
      <xdr:rowOff>0</xdr:rowOff>
    </xdr:from>
    <xdr:to>
      <xdr:col>23</xdr:col>
      <xdr:colOff>19050</xdr:colOff>
      <xdr:row>47</xdr:row>
      <xdr:rowOff>123825</xdr:rowOff>
    </xdr:to>
    <mc:AlternateContent xmlns:mc="http://schemas.openxmlformats.org/markup-compatibility/2006">
      <mc:Choice xmlns:cx1="http://schemas.microsoft.com/office/drawing/2015/9/8/chartex" Requires="cx1">
        <xdr:graphicFrame macro="">
          <xdr:nvGraphicFramePr>
            <xdr:cNvPr id="33" name="Chart 32">
              <a:extLst>
                <a:ext uri="{FF2B5EF4-FFF2-40B4-BE49-F238E27FC236}">
                  <a16:creationId xmlns:a16="http://schemas.microsoft.com/office/drawing/2014/main" id="{A1A54711-8465-430F-B01C-DABD7698038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9753599" y="6096000"/>
              <a:ext cx="4286251" cy="29813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ASHYA KUNDU" refreshedDate="46126.089268171294" createdVersion="8" refreshedVersion="8" minRefreshableVersion="3" recordCount="500" xr:uid="{882B7E7B-88E3-488A-BBD2-C73FAE79FD42}">
  <cacheSource type="worksheet">
    <worksheetSource name="Table1"/>
  </cacheSource>
  <cacheFields count="11">
    <cacheField name="Patient ID" numFmtId="0">
      <sharedItems/>
    </cacheField>
    <cacheField name="Department" numFmtId="0">
      <sharedItems count="6">
        <s v="Neurology"/>
        <s v="Cardiology"/>
        <s v="Orthopedics"/>
        <s v="Gastroenterology"/>
        <s v="Pediatrics"/>
        <s v="Oncology"/>
      </sharedItems>
    </cacheField>
    <cacheField name="Treatment Type" numFmtId="0">
      <sharedItems count="4">
        <s v="Surgery"/>
        <s v="Observation"/>
        <s v="Medication"/>
        <s v="Therapy"/>
      </sharedItems>
    </cacheField>
    <cacheField name="Doctor Name" numFmtId="0">
      <sharedItems count="5">
        <s v="Dr. L. Khan"/>
        <s v="Dr. A. Sharma"/>
        <s v="Dr. R. Singh"/>
        <s v="Dr. T. Mehta"/>
        <s v="Dr. M. Patel"/>
      </sharedItems>
    </cacheField>
    <cacheField name="Gender" numFmtId="0">
      <sharedItems count="3">
        <s v="Male"/>
        <s v="Female"/>
        <s v="Other"/>
      </sharedItems>
    </cacheField>
    <cacheField name="Age" numFmtId="0">
      <sharedItems containsSemiMixedTypes="0" containsString="0" containsNumber="1" containsInteger="1" minValue="1" maxValue="90" count="90">
        <n v="16"/>
        <n v="38"/>
        <n v="34"/>
        <n v="43"/>
        <n v="50"/>
        <n v="5"/>
        <n v="82"/>
        <n v="37"/>
        <n v="71"/>
        <n v="26"/>
        <n v="55"/>
        <n v="36"/>
        <n v="42"/>
        <n v="35"/>
        <n v="53"/>
        <n v="44"/>
        <n v="4"/>
        <n v="83"/>
        <n v="67"/>
        <n v="68"/>
        <n v="15"/>
        <n v="88"/>
        <n v="76"/>
        <n v="18"/>
        <n v="27"/>
        <n v="48"/>
        <n v="14"/>
        <n v="72"/>
        <n v="58"/>
        <n v="29"/>
        <n v="6"/>
        <n v="24"/>
        <n v="23"/>
        <n v="61"/>
        <n v="85"/>
        <n v="11"/>
        <n v="70"/>
        <n v="10"/>
        <n v="59"/>
        <n v="62"/>
        <n v="87"/>
        <n v="32"/>
        <n v="41"/>
        <n v="12"/>
        <n v="2"/>
        <n v="22"/>
        <n v="9"/>
        <n v="90"/>
        <n v="75"/>
        <n v="13"/>
        <n v="8"/>
        <n v="84"/>
        <n v="21"/>
        <n v="25"/>
        <n v="89"/>
        <n v="66"/>
        <n v="47"/>
        <n v="79"/>
        <n v="49"/>
        <n v="77"/>
        <n v="74"/>
        <n v="45"/>
        <n v="81"/>
        <n v="52"/>
        <n v="57"/>
        <n v="65"/>
        <n v="56"/>
        <n v="64"/>
        <n v="80"/>
        <n v="7"/>
        <n v="60"/>
        <n v="17"/>
        <n v="51"/>
        <n v="39"/>
        <n v="46"/>
        <n v="63"/>
        <n v="1"/>
        <n v="54"/>
        <n v="73"/>
        <n v="86"/>
        <n v="19"/>
        <n v="30"/>
        <n v="20"/>
        <n v="40"/>
        <n v="28"/>
        <n v="69"/>
        <n v="31"/>
        <n v="3"/>
        <n v="78"/>
        <n v="33"/>
      </sharedItems>
    </cacheField>
    <cacheField name="Treatment Cost" numFmtId="0">
      <sharedItems containsSemiMixedTypes="0" containsString="0" containsNumber="1" minValue="3926.03" maxValue="199869.24"/>
    </cacheField>
    <cacheField name="Hospital Stay (Days)" numFmtId="0">
      <sharedItems containsSemiMixedTypes="0" containsString="0" containsNumber="1" containsInteger="1" minValue="1" maxValue="30"/>
    </cacheField>
    <cacheField name="Recovery Score" numFmtId="0">
      <sharedItems containsSemiMixedTypes="0" containsString="0" containsNumber="1" containsInteger="1" minValue="40" maxValue="100"/>
    </cacheField>
    <cacheField name="Cost Category" numFmtId="0">
      <sharedItems count="2">
        <s v="LOW COST"/>
        <s v="HIGH COST"/>
      </sharedItems>
    </cacheField>
    <cacheField name="Age Group" numFmtId="0">
      <sharedItems count="3">
        <s v="Child"/>
        <s v="Adult"/>
        <s v="Senior Citizen"/>
      </sharedItems>
    </cacheField>
  </cacheFields>
  <extLst>
    <ext xmlns:x14="http://schemas.microsoft.com/office/spreadsheetml/2009/9/main" uri="{725AE2AE-9491-48be-B2B4-4EB974FC3084}">
      <x14:pivotCacheDefinition pivotCacheId="2746395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P1001"/>
    <x v="0"/>
    <x v="0"/>
    <x v="0"/>
    <x v="0"/>
    <x v="0"/>
    <n v="37596.44"/>
    <n v="24"/>
    <n v="90"/>
    <x v="0"/>
    <x v="0"/>
  </r>
  <r>
    <s v="P1002"/>
    <x v="1"/>
    <x v="0"/>
    <x v="1"/>
    <x v="1"/>
    <x v="1"/>
    <n v="43526.9"/>
    <n v="5"/>
    <n v="45"/>
    <x v="0"/>
    <x v="1"/>
  </r>
  <r>
    <s v="P1003"/>
    <x v="2"/>
    <x v="1"/>
    <x v="2"/>
    <x v="1"/>
    <x v="2"/>
    <n v="102515.96"/>
    <n v="3"/>
    <n v="90"/>
    <x v="1"/>
    <x v="1"/>
  </r>
  <r>
    <s v="P1004"/>
    <x v="0"/>
    <x v="2"/>
    <x v="3"/>
    <x v="0"/>
    <x v="3"/>
    <n v="117944.99"/>
    <n v="29"/>
    <n v="73"/>
    <x v="1"/>
    <x v="1"/>
  </r>
  <r>
    <s v="P1005"/>
    <x v="1"/>
    <x v="0"/>
    <x v="4"/>
    <x v="0"/>
    <x v="4"/>
    <n v="64449.82"/>
    <n v="19"/>
    <n v="88"/>
    <x v="0"/>
    <x v="1"/>
  </r>
  <r>
    <s v="P1006"/>
    <x v="2"/>
    <x v="1"/>
    <x v="1"/>
    <x v="0"/>
    <x v="5"/>
    <n v="191398.91"/>
    <n v="11"/>
    <n v="62"/>
    <x v="1"/>
    <x v="0"/>
  </r>
  <r>
    <s v="P1007"/>
    <x v="1"/>
    <x v="2"/>
    <x v="2"/>
    <x v="2"/>
    <x v="6"/>
    <n v="90815.49"/>
    <n v="30"/>
    <n v="97"/>
    <x v="1"/>
    <x v="2"/>
  </r>
  <r>
    <s v="P1008"/>
    <x v="3"/>
    <x v="2"/>
    <x v="1"/>
    <x v="0"/>
    <x v="7"/>
    <n v="179279.69"/>
    <n v="21"/>
    <n v="55"/>
    <x v="1"/>
    <x v="1"/>
  </r>
  <r>
    <s v="P1009"/>
    <x v="2"/>
    <x v="0"/>
    <x v="1"/>
    <x v="0"/>
    <x v="8"/>
    <n v="135829.76999999999"/>
    <n v="5"/>
    <n v="66"/>
    <x v="1"/>
    <x v="2"/>
  </r>
  <r>
    <s v="P1010"/>
    <x v="4"/>
    <x v="2"/>
    <x v="4"/>
    <x v="1"/>
    <x v="9"/>
    <n v="129006.98"/>
    <n v="26"/>
    <n v="67"/>
    <x v="1"/>
    <x v="1"/>
  </r>
  <r>
    <s v="P1011"/>
    <x v="5"/>
    <x v="2"/>
    <x v="4"/>
    <x v="2"/>
    <x v="10"/>
    <n v="63125.67"/>
    <n v="26"/>
    <n v="49"/>
    <x v="0"/>
    <x v="1"/>
  </r>
  <r>
    <s v="P1012"/>
    <x v="5"/>
    <x v="2"/>
    <x v="1"/>
    <x v="0"/>
    <x v="11"/>
    <n v="145732.32999999999"/>
    <n v="11"/>
    <n v="46"/>
    <x v="1"/>
    <x v="1"/>
  </r>
  <r>
    <s v="P1013"/>
    <x v="3"/>
    <x v="1"/>
    <x v="3"/>
    <x v="2"/>
    <x v="12"/>
    <n v="68270.3"/>
    <n v="14"/>
    <n v="93"/>
    <x v="0"/>
    <x v="1"/>
  </r>
  <r>
    <s v="P1014"/>
    <x v="2"/>
    <x v="3"/>
    <x v="2"/>
    <x v="1"/>
    <x v="13"/>
    <n v="83924.18"/>
    <n v="28"/>
    <n v="85"/>
    <x v="1"/>
    <x v="1"/>
  </r>
  <r>
    <s v="P1015"/>
    <x v="0"/>
    <x v="3"/>
    <x v="1"/>
    <x v="2"/>
    <x v="14"/>
    <n v="84925.89"/>
    <n v="5"/>
    <n v="58"/>
    <x v="1"/>
    <x v="1"/>
  </r>
  <r>
    <s v="P1016"/>
    <x v="1"/>
    <x v="1"/>
    <x v="4"/>
    <x v="2"/>
    <x v="15"/>
    <n v="96718.31"/>
    <n v="20"/>
    <n v="72"/>
    <x v="1"/>
    <x v="1"/>
  </r>
  <r>
    <s v="P1017"/>
    <x v="3"/>
    <x v="2"/>
    <x v="1"/>
    <x v="0"/>
    <x v="16"/>
    <n v="73619.009999999995"/>
    <n v="21"/>
    <n v="91"/>
    <x v="0"/>
    <x v="0"/>
  </r>
  <r>
    <s v="P1018"/>
    <x v="3"/>
    <x v="3"/>
    <x v="3"/>
    <x v="1"/>
    <x v="17"/>
    <n v="11269.13"/>
    <n v="9"/>
    <n v="99"/>
    <x v="0"/>
    <x v="2"/>
  </r>
  <r>
    <s v="P1019"/>
    <x v="4"/>
    <x v="3"/>
    <x v="0"/>
    <x v="0"/>
    <x v="18"/>
    <n v="65910.47"/>
    <n v="5"/>
    <n v="69"/>
    <x v="0"/>
    <x v="2"/>
  </r>
  <r>
    <s v="P1020"/>
    <x v="2"/>
    <x v="1"/>
    <x v="1"/>
    <x v="2"/>
    <x v="11"/>
    <n v="114129.23"/>
    <n v="3"/>
    <n v="68"/>
    <x v="1"/>
    <x v="1"/>
  </r>
  <r>
    <s v="P1021"/>
    <x v="1"/>
    <x v="2"/>
    <x v="2"/>
    <x v="1"/>
    <x v="19"/>
    <n v="70940.570000000007"/>
    <n v="10"/>
    <n v="98"/>
    <x v="0"/>
    <x v="2"/>
  </r>
  <r>
    <s v="P1022"/>
    <x v="5"/>
    <x v="0"/>
    <x v="0"/>
    <x v="0"/>
    <x v="20"/>
    <n v="158965.96"/>
    <n v="24"/>
    <n v="61"/>
    <x v="1"/>
    <x v="0"/>
  </r>
  <r>
    <s v="P1023"/>
    <x v="0"/>
    <x v="1"/>
    <x v="3"/>
    <x v="2"/>
    <x v="21"/>
    <n v="162134.74"/>
    <n v="27"/>
    <n v="75"/>
    <x v="1"/>
    <x v="2"/>
  </r>
  <r>
    <s v="P1024"/>
    <x v="0"/>
    <x v="0"/>
    <x v="3"/>
    <x v="0"/>
    <x v="19"/>
    <n v="25291.16"/>
    <n v="29"/>
    <n v="57"/>
    <x v="0"/>
    <x v="2"/>
  </r>
  <r>
    <s v="P1025"/>
    <x v="1"/>
    <x v="2"/>
    <x v="2"/>
    <x v="2"/>
    <x v="22"/>
    <n v="58495.66"/>
    <n v="1"/>
    <n v="97"/>
    <x v="0"/>
    <x v="2"/>
  </r>
  <r>
    <s v="P1026"/>
    <x v="0"/>
    <x v="3"/>
    <x v="4"/>
    <x v="0"/>
    <x v="23"/>
    <n v="17828.759999999998"/>
    <n v="27"/>
    <n v="53"/>
    <x v="0"/>
    <x v="1"/>
  </r>
  <r>
    <s v="P1027"/>
    <x v="2"/>
    <x v="3"/>
    <x v="3"/>
    <x v="0"/>
    <x v="4"/>
    <n v="72486.28"/>
    <n v="1"/>
    <n v="93"/>
    <x v="0"/>
    <x v="1"/>
  </r>
  <r>
    <s v="P1028"/>
    <x v="5"/>
    <x v="0"/>
    <x v="2"/>
    <x v="2"/>
    <x v="24"/>
    <n v="190953.29"/>
    <n v="26"/>
    <n v="95"/>
    <x v="1"/>
    <x v="1"/>
  </r>
  <r>
    <s v="P1029"/>
    <x v="0"/>
    <x v="2"/>
    <x v="4"/>
    <x v="1"/>
    <x v="25"/>
    <n v="6166.71"/>
    <n v="8"/>
    <n v="95"/>
    <x v="0"/>
    <x v="1"/>
  </r>
  <r>
    <s v="P1030"/>
    <x v="0"/>
    <x v="0"/>
    <x v="2"/>
    <x v="1"/>
    <x v="26"/>
    <n v="80015.539999999994"/>
    <n v="13"/>
    <n v="47"/>
    <x v="1"/>
    <x v="0"/>
  </r>
  <r>
    <s v="P1031"/>
    <x v="0"/>
    <x v="3"/>
    <x v="1"/>
    <x v="0"/>
    <x v="27"/>
    <n v="81761.490000000005"/>
    <n v="29"/>
    <n v="82"/>
    <x v="1"/>
    <x v="2"/>
  </r>
  <r>
    <s v="P1032"/>
    <x v="2"/>
    <x v="1"/>
    <x v="0"/>
    <x v="0"/>
    <x v="6"/>
    <n v="165087.66"/>
    <n v="7"/>
    <n v="57"/>
    <x v="1"/>
    <x v="2"/>
  </r>
  <r>
    <s v="P1033"/>
    <x v="3"/>
    <x v="2"/>
    <x v="4"/>
    <x v="0"/>
    <x v="22"/>
    <n v="175356.57"/>
    <n v="8"/>
    <n v="96"/>
    <x v="1"/>
    <x v="2"/>
  </r>
  <r>
    <s v="P1034"/>
    <x v="3"/>
    <x v="1"/>
    <x v="4"/>
    <x v="1"/>
    <x v="10"/>
    <n v="82573.09"/>
    <n v="5"/>
    <n v="54"/>
    <x v="1"/>
    <x v="1"/>
  </r>
  <r>
    <s v="P1035"/>
    <x v="3"/>
    <x v="3"/>
    <x v="4"/>
    <x v="2"/>
    <x v="28"/>
    <n v="190373.39"/>
    <n v="30"/>
    <n v="48"/>
    <x v="1"/>
    <x v="1"/>
  </r>
  <r>
    <s v="P1036"/>
    <x v="0"/>
    <x v="0"/>
    <x v="1"/>
    <x v="1"/>
    <x v="29"/>
    <n v="154928.19"/>
    <n v="2"/>
    <n v="79"/>
    <x v="1"/>
    <x v="1"/>
  </r>
  <r>
    <s v="P1037"/>
    <x v="4"/>
    <x v="3"/>
    <x v="1"/>
    <x v="2"/>
    <x v="30"/>
    <n v="26710.43"/>
    <n v="3"/>
    <n v="84"/>
    <x v="0"/>
    <x v="0"/>
  </r>
  <r>
    <s v="P1038"/>
    <x v="3"/>
    <x v="3"/>
    <x v="3"/>
    <x v="1"/>
    <x v="31"/>
    <n v="73116"/>
    <n v="28"/>
    <n v="76"/>
    <x v="0"/>
    <x v="1"/>
  </r>
  <r>
    <s v="P1039"/>
    <x v="2"/>
    <x v="1"/>
    <x v="1"/>
    <x v="1"/>
    <x v="32"/>
    <n v="154946.41"/>
    <n v="12"/>
    <n v="42"/>
    <x v="1"/>
    <x v="1"/>
  </r>
  <r>
    <s v="P1040"/>
    <x v="4"/>
    <x v="1"/>
    <x v="2"/>
    <x v="2"/>
    <x v="15"/>
    <n v="122475.14"/>
    <n v="13"/>
    <n v="86"/>
    <x v="1"/>
    <x v="1"/>
  </r>
  <r>
    <s v="P1041"/>
    <x v="3"/>
    <x v="0"/>
    <x v="3"/>
    <x v="2"/>
    <x v="33"/>
    <n v="44785.39"/>
    <n v="18"/>
    <n v="60"/>
    <x v="0"/>
    <x v="2"/>
  </r>
  <r>
    <s v="P1042"/>
    <x v="3"/>
    <x v="0"/>
    <x v="3"/>
    <x v="2"/>
    <x v="34"/>
    <n v="4230.97"/>
    <n v="15"/>
    <n v="59"/>
    <x v="0"/>
    <x v="2"/>
  </r>
  <r>
    <s v="P1043"/>
    <x v="5"/>
    <x v="2"/>
    <x v="4"/>
    <x v="0"/>
    <x v="35"/>
    <n v="190757.12"/>
    <n v="15"/>
    <n v="65"/>
    <x v="1"/>
    <x v="0"/>
  </r>
  <r>
    <s v="P1044"/>
    <x v="1"/>
    <x v="2"/>
    <x v="4"/>
    <x v="2"/>
    <x v="36"/>
    <n v="161131.6"/>
    <n v="8"/>
    <n v="74"/>
    <x v="1"/>
    <x v="2"/>
  </r>
  <r>
    <s v="P1045"/>
    <x v="2"/>
    <x v="2"/>
    <x v="3"/>
    <x v="0"/>
    <x v="37"/>
    <n v="73649.5"/>
    <n v="1"/>
    <n v="74"/>
    <x v="0"/>
    <x v="0"/>
  </r>
  <r>
    <s v="P1046"/>
    <x v="3"/>
    <x v="0"/>
    <x v="4"/>
    <x v="1"/>
    <x v="21"/>
    <n v="61188.39"/>
    <n v="23"/>
    <n v="67"/>
    <x v="0"/>
    <x v="2"/>
  </r>
  <r>
    <s v="P1047"/>
    <x v="2"/>
    <x v="1"/>
    <x v="0"/>
    <x v="1"/>
    <x v="38"/>
    <n v="102180.68"/>
    <n v="26"/>
    <n v="99"/>
    <x v="1"/>
    <x v="1"/>
  </r>
  <r>
    <s v="P1048"/>
    <x v="4"/>
    <x v="2"/>
    <x v="2"/>
    <x v="2"/>
    <x v="39"/>
    <n v="94266.39"/>
    <n v="13"/>
    <n v="51"/>
    <x v="1"/>
    <x v="2"/>
  </r>
  <r>
    <s v="P1049"/>
    <x v="0"/>
    <x v="0"/>
    <x v="2"/>
    <x v="0"/>
    <x v="40"/>
    <n v="16790.689999999999"/>
    <n v="5"/>
    <n v="51"/>
    <x v="0"/>
    <x v="2"/>
  </r>
  <r>
    <s v="P1050"/>
    <x v="0"/>
    <x v="3"/>
    <x v="3"/>
    <x v="2"/>
    <x v="41"/>
    <n v="35239.75"/>
    <n v="7"/>
    <n v="49"/>
    <x v="0"/>
    <x v="1"/>
  </r>
  <r>
    <s v="P1051"/>
    <x v="1"/>
    <x v="0"/>
    <x v="1"/>
    <x v="2"/>
    <x v="42"/>
    <n v="21174.65"/>
    <n v="1"/>
    <n v="48"/>
    <x v="0"/>
    <x v="1"/>
  </r>
  <r>
    <s v="P1052"/>
    <x v="1"/>
    <x v="1"/>
    <x v="0"/>
    <x v="0"/>
    <x v="43"/>
    <n v="148682.53"/>
    <n v="3"/>
    <n v="68"/>
    <x v="1"/>
    <x v="0"/>
  </r>
  <r>
    <s v="P1053"/>
    <x v="1"/>
    <x v="3"/>
    <x v="4"/>
    <x v="0"/>
    <x v="44"/>
    <n v="17618.91"/>
    <n v="14"/>
    <n v="94"/>
    <x v="0"/>
    <x v="0"/>
  </r>
  <r>
    <s v="P1054"/>
    <x v="0"/>
    <x v="3"/>
    <x v="4"/>
    <x v="0"/>
    <x v="42"/>
    <n v="140709.71"/>
    <n v="16"/>
    <n v="66"/>
    <x v="1"/>
    <x v="1"/>
  </r>
  <r>
    <s v="P1055"/>
    <x v="5"/>
    <x v="0"/>
    <x v="1"/>
    <x v="2"/>
    <x v="45"/>
    <n v="174081.1"/>
    <n v="7"/>
    <n v="82"/>
    <x v="1"/>
    <x v="1"/>
  </r>
  <r>
    <s v="P1056"/>
    <x v="3"/>
    <x v="3"/>
    <x v="3"/>
    <x v="2"/>
    <x v="43"/>
    <n v="198550.69"/>
    <n v="13"/>
    <n v="75"/>
    <x v="1"/>
    <x v="0"/>
  </r>
  <r>
    <s v="P1057"/>
    <x v="4"/>
    <x v="1"/>
    <x v="1"/>
    <x v="1"/>
    <x v="16"/>
    <n v="195378.45"/>
    <n v="12"/>
    <n v="97"/>
    <x v="1"/>
    <x v="0"/>
  </r>
  <r>
    <s v="P1058"/>
    <x v="3"/>
    <x v="1"/>
    <x v="0"/>
    <x v="0"/>
    <x v="46"/>
    <n v="33646.769999999997"/>
    <n v="2"/>
    <n v="93"/>
    <x v="0"/>
    <x v="0"/>
  </r>
  <r>
    <s v="P1059"/>
    <x v="2"/>
    <x v="3"/>
    <x v="3"/>
    <x v="2"/>
    <x v="47"/>
    <n v="164022.23000000001"/>
    <n v="17"/>
    <n v="97"/>
    <x v="1"/>
    <x v="2"/>
  </r>
  <r>
    <s v="P1060"/>
    <x v="1"/>
    <x v="2"/>
    <x v="0"/>
    <x v="1"/>
    <x v="48"/>
    <n v="188929.01"/>
    <n v="20"/>
    <n v="65"/>
    <x v="1"/>
    <x v="2"/>
  </r>
  <r>
    <s v="P1061"/>
    <x v="5"/>
    <x v="0"/>
    <x v="4"/>
    <x v="2"/>
    <x v="49"/>
    <n v="162206.89000000001"/>
    <n v="25"/>
    <n v="83"/>
    <x v="1"/>
    <x v="0"/>
  </r>
  <r>
    <s v="P1062"/>
    <x v="2"/>
    <x v="2"/>
    <x v="1"/>
    <x v="2"/>
    <x v="50"/>
    <n v="170444.81"/>
    <n v="14"/>
    <n v="60"/>
    <x v="1"/>
    <x v="0"/>
  </r>
  <r>
    <s v="P1063"/>
    <x v="1"/>
    <x v="2"/>
    <x v="2"/>
    <x v="2"/>
    <x v="51"/>
    <n v="161331.17000000001"/>
    <n v="23"/>
    <n v="54"/>
    <x v="1"/>
    <x v="2"/>
  </r>
  <r>
    <s v="P1064"/>
    <x v="0"/>
    <x v="0"/>
    <x v="4"/>
    <x v="0"/>
    <x v="27"/>
    <n v="62093.89"/>
    <n v="25"/>
    <n v="45"/>
    <x v="0"/>
    <x v="2"/>
  </r>
  <r>
    <s v="P1065"/>
    <x v="1"/>
    <x v="0"/>
    <x v="4"/>
    <x v="0"/>
    <x v="52"/>
    <n v="116049.23"/>
    <n v="22"/>
    <n v="97"/>
    <x v="1"/>
    <x v="1"/>
  </r>
  <r>
    <s v="P1066"/>
    <x v="1"/>
    <x v="3"/>
    <x v="1"/>
    <x v="1"/>
    <x v="53"/>
    <n v="128805.91"/>
    <n v="24"/>
    <n v="67"/>
    <x v="1"/>
    <x v="1"/>
  </r>
  <r>
    <s v="P1067"/>
    <x v="5"/>
    <x v="3"/>
    <x v="3"/>
    <x v="1"/>
    <x v="54"/>
    <n v="42149.37"/>
    <n v="16"/>
    <n v="76"/>
    <x v="0"/>
    <x v="2"/>
  </r>
  <r>
    <s v="P1068"/>
    <x v="1"/>
    <x v="1"/>
    <x v="0"/>
    <x v="1"/>
    <x v="55"/>
    <n v="166067.79"/>
    <n v="8"/>
    <n v="86"/>
    <x v="1"/>
    <x v="2"/>
  </r>
  <r>
    <s v="P1069"/>
    <x v="2"/>
    <x v="3"/>
    <x v="0"/>
    <x v="1"/>
    <x v="56"/>
    <n v="183267.59"/>
    <n v="6"/>
    <n v="46"/>
    <x v="1"/>
    <x v="1"/>
  </r>
  <r>
    <s v="P1070"/>
    <x v="5"/>
    <x v="3"/>
    <x v="4"/>
    <x v="2"/>
    <x v="57"/>
    <n v="148972.35999999999"/>
    <n v="10"/>
    <n v="69"/>
    <x v="1"/>
    <x v="2"/>
  </r>
  <r>
    <s v="P1071"/>
    <x v="3"/>
    <x v="1"/>
    <x v="2"/>
    <x v="1"/>
    <x v="9"/>
    <n v="53305.36"/>
    <n v="6"/>
    <n v="54"/>
    <x v="0"/>
    <x v="1"/>
  </r>
  <r>
    <s v="P1072"/>
    <x v="3"/>
    <x v="2"/>
    <x v="4"/>
    <x v="1"/>
    <x v="58"/>
    <n v="171752.86"/>
    <n v="11"/>
    <n v="89"/>
    <x v="1"/>
    <x v="1"/>
  </r>
  <r>
    <s v="P1073"/>
    <x v="4"/>
    <x v="0"/>
    <x v="3"/>
    <x v="0"/>
    <x v="9"/>
    <n v="174172.12"/>
    <n v="25"/>
    <n v="96"/>
    <x v="1"/>
    <x v="1"/>
  </r>
  <r>
    <s v="P1074"/>
    <x v="1"/>
    <x v="3"/>
    <x v="0"/>
    <x v="0"/>
    <x v="13"/>
    <n v="21592.68"/>
    <n v="17"/>
    <n v="51"/>
    <x v="0"/>
    <x v="1"/>
  </r>
  <r>
    <s v="P1075"/>
    <x v="0"/>
    <x v="2"/>
    <x v="1"/>
    <x v="1"/>
    <x v="11"/>
    <n v="62122.81"/>
    <n v="25"/>
    <n v="56"/>
    <x v="0"/>
    <x v="1"/>
  </r>
  <r>
    <s v="P1076"/>
    <x v="2"/>
    <x v="2"/>
    <x v="4"/>
    <x v="0"/>
    <x v="59"/>
    <n v="57122.79"/>
    <n v="26"/>
    <n v="49"/>
    <x v="0"/>
    <x v="2"/>
  </r>
  <r>
    <s v="P1077"/>
    <x v="0"/>
    <x v="2"/>
    <x v="2"/>
    <x v="1"/>
    <x v="60"/>
    <n v="19598.82"/>
    <n v="27"/>
    <n v="95"/>
    <x v="0"/>
    <x v="2"/>
  </r>
  <r>
    <s v="P1078"/>
    <x v="3"/>
    <x v="2"/>
    <x v="4"/>
    <x v="0"/>
    <x v="61"/>
    <n v="182710.63"/>
    <n v="25"/>
    <n v="41"/>
    <x v="1"/>
    <x v="1"/>
  </r>
  <r>
    <s v="P1079"/>
    <x v="5"/>
    <x v="3"/>
    <x v="0"/>
    <x v="1"/>
    <x v="62"/>
    <n v="169352.94"/>
    <n v="27"/>
    <n v="64"/>
    <x v="1"/>
    <x v="2"/>
  </r>
  <r>
    <s v="P1080"/>
    <x v="1"/>
    <x v="1"/>
    <x v="1"/>
    <x v="2"/>
    <x v="51"/>
    <n v="142801.03"/>
    <n v="21"/>
    <n v="70"/>
    <x v="1"/>
    <x v="2"/>
  </r>
  <r>
    <s v="P1081"/>
    <x v="0"/>
    <x v="1"/>
    <x v="4"/>
    <x v="0"/>
    <x v="40"/>
    <n v="94897.83"/>
    <n v="5"/>
    <n v="100"/>
    <x v="1"/>
    <x v="2"/>
  </r>
  <r>
    <s v="P1082"/>
    <x v="4"/>
    <x v="3"/>
    <x v="0"/>
    <x v="1"/>
    <x v="39"/>
    <n v="82806.399999999994"/>
    <n v="13"/>
    <n v="60"/>
    <x v="1"/>
    <x v="2"/>
  </r>
  <r>
    <s v="P1083"/>
    <x v="0"/>
    <x v="0"/>
    <x v="0"/>
    <x v="0"/>
    <x v="63"/>
    <n v="120033.47"/>
    <n v="21"/>
    <n v="40"/>
    <x v="1"/>
    <x v="1"/>
  </r>
  <r>
    <s v="P1084"/>
    <x v="0"/>
    <x v="0"/>
    <x v="0"/>
    <x v="2"/>
    <x v="39"/>
    <n v="184712"/>
    <n v="20"/>
    <n v="55"/>
    <x v="1"/>
    <x v="2"/>
  </r>
  <r>
    <s v="P1085"/>
    <x v="4"/>
    <x v="2"/>
    <x v="1"/>
    <x v="1"/>
    <x v="59"/>
    <n v="118243.2"/>
    <n v="30"/>
    <n v="99"/>
    <x v="1"/>
    <x v="2"/>
  </r>
  <r>
    <s v="P1086"/>
    <x v="3"/>
    <x v="3"/>
    <x v="4"/>
    <x v="1"/>
    <x v="64"/>
    <n v="96162.29"/>
    <n v="1"/>
    <n v="94"/>
    <x v="1"/>
    <x v="1"/>
  </r>
  <r>
    <s v="P1087"/>
    <x v="0"/>
    <x v="3"/>
    <x v="0"/>
    <x v="1"/>
    <x v="63"/>
    <n v="3926.03"/>
    <n v="23"/>
    <n v="100"/>
    <x v="0"/>
    <x v="1"/>
  </r>
  <r>
    <s v="P1088"/>
    <x v="5"/>
    <x v="1"/>
    <x v="2"/>
    <x v="1"/>
    <x v="48"/>
    <n v="184438.24"/>
    <n v="24"/>
    <n v="93"/>
    <x v="1"/>
    <x v="2"/>
  </r>
  <r>
    <s v="P1089"/>
    <x v="1"/>
    <x v="2"/>
    <x v="3"/>
    <x v="1"/>
    <x v="65"/>
    <n v="187255.3"/>
    <n v="28"/>
    <n v="90"/>
    <x v="1"/>
    <x v="2"/>
  </r>
  <r>
    <s v="P1090"/>
    <x v="5"/>
    <x v="2"/>
    <x v="1"/>
    <x v="1"/>
    <x v="66"/>
    <n v="169119.61"/>
    <n v="6"/>
    <n v="59"/>
    <x v="1"/>
    <x v="1"/>
  </r>
  <r>
    <s v="P1091"/>
    <x v="5"/>
    <x v="3"/>
    <x v="1"/>
    <x v="0"/>
    <x v="54"/>
    <n v="107499.28"/>
    <n v="11"/>
    <n v="63"/>
    <x v="1"/>
    <x v="2"/>
  </r>
  <r>
    <s v="P1092"/>
    <x v="2"/>
    <x v="0"/>
    <x v="1"/>
    <x v="2"/>
    <x v="17"/>
    <n v="154395.60999999999"/>
    <n v="21"/>
    <n v="69"/>
    <x v="1"/>
    <x v="2"/>
  </r>
  <r>
    <s v="P1093"/>
    <x v="2"/>
    <x v="3"/>
    <x v="3"/>
    <x v="1"/>
    <x v="29"/>
    <n v="181388.33"/>
    <n v="19"/>
    <n v="99"/>
    <x v="1"/>
    <x v="1"/>
  </r>
  <r>
    <s v="P1094"/>
    <x v="4"/>
    <x v="2"/>
    <x v="1"/>
    <x v="1"/>
    <x v="65"/>
    <n v="129269.31"/>
    <n v="26"/>
    <n v="60"/>
    <x v="1"/>
    <x v="2"/>
  </r>
  <r>
    <s v="P1095"/>
    <x v="1"/>
    <x v="0"/>
    <x v="3"/>
    <x v="2"/>
    <x v="62"/>
    <n v="80069.45"/>
    <n v="23"/>
    <n v="76"/>
    <x v="1"/>
    <x v="2"/>
  </r>
  <r>
    <s v="P1096"/>
    <x v="4"/>
    <x v="3"/>
    <x v="2"/>
    <x v="2"/>
    <x v="42"/>
    <n v="170185.85"/>
    <n v="26"/>
    <n v="47"/>
    <x v="1"/>
    <x v="1"/>
  </r>
  <r>
    <s v="P1097"/>
    <x v="2"/>
    <x v="1"/>
    <x v="1"/>
    <x v="2"/>
    <x v="46"/>
    <n v="67852.27"/>
    <n v="10"/>
    <n v="56"/>
    <x v="0"/>
    <x v="0"/>
  </r>
  <r>
    <s v="P1098"/>
    <x v="3"/>
    <x v="0"/>
    <x v="2"/>
    <x v="0"/>
    <x v="44"/>
    <n v="179245.98"/>
    <n v="26"/>
    <n v="69"/>
    <x v="1"/>
    <x v="0"/>
  </r>
  <r>
    <s v="P1099"/>
    <x v="3"/>
    <x v="1"/>
    <x v="4"/>
    <x v="0"/>
    <x v="67"/>
    <n v="133475.6"/>
    <n v="24"/>
    <n v="69"/>
    <x v="1"/>
    <x v="2"/>
  </r>
  <r>
    <s v="P1100"/>
    <x v="0"/>
    <x v="2"/>
    <x v="2"/>
    <x v="0"/>
    <x v="68"/>
    <n v="85551.05"/>
    <n v="24"/>
    <n v="99"/>
    <x v="1"/>
    <x v="2"/>
  </r>
  <r>
    <s v="P1101"/>
    <x v="0"/>
    <x v="1"/>
    <x v="4"/>
    <x v="0"/>
    <x v="2"/>
    <n v="89194.25"/>
    <n v="16"/>
    <n v="69"/>
    <x v="1"/>
    <x v="1"/>
  </r>
  <r>
    <s v="P1102"/>
    <x v="5"/>
    <x v="1"/>
    <x v="0"/>
    <x v="0"/>
    <x v="52"/>
    <n v="145196.78"/>
    <n v="17"/>
    <n v="84"/>
    <x v="1"/>
    <x v="1"/>
  </r>
  <r>
    <s v="P1103"/>
    <x v="3"/>
    <x v="1"/>
    <x v="3"/>
    <x v="1"/>
    <x v="10"/>
    <n v="124626.18"/>
    <n v="21"/>
    <n v="87"/>
    <x v="1"/>
    <x v="1"/>
  </r>
  <r>
    <s v="P1104"/>
    <x v="3"/>
    <x v="3"/>
    <x v="3"/>
    <x v="1"/>
    <x v="69"/>
    <n v="127179.51"/>
    <n v="1"/>
    <n v="40"/>
    <x v="1"/>
    <x v="0"/>
  </r>
  <r>
    <s v="P1105"/>
    <x v="4"/>
    <x v="0"/>
    <x v="2"/>
    <x v="1"/>
    <x v="43"/>
    <n v="40948.97"/>
    <n v="26"/>
    <n v="92"/>
    <x v="0"/>
    <x v="0"/>
  </r>
  <r>
    <s v="P1106"/>
    <x v="4"/>
    <x v="0"/>
    <x v="4"/>
    <x v="1"/>
    <x v="15"/>
    <n v="168565.89"/>
    <n v="27"/>
    <n v="41"/>
    <x v="1"/>
    <x v="1"/>
  </r>
  <r>
    <s v="P1107"/>
    <x v="3"/>
    <x v="3"/>
    <x v="1"/>
    <x v="2"/>
    <x v="70"/>
    <n v="57461.93"/>
    <n v="17"/>
    <n v="72"/>
    <x v="0"/>
    <x v="2"/>
  </r>
  <r>
    <s v="P1108"/>
    <x v="2"/>
    <x v="2"/>
    <x v="4"/>
    <x v="0"/>
    <x v="71"/>
    <n v="177781.26"/>
    <n v="18"/>
    <n v="62"/>
    <x v="1"/>
    <x v="0"/>
  </r>
  <r>
    <s v="P1109"/>
    <x v="5"/>
    <x v="3"/>
    <x v="4"/>
    <x v="1"/>
    <x v="45"/>
    <n v="187260.87"/>
    <n v="27"/>
    <n v="43"/>
    <x v="1"/>
    <x v="1"/>
  </r>
  <r>
    <s v="P1110"/>
    <x v="3"/>
    <x v="3"/>
    <x v="2"/>
    <x v="0"/>
    <x v="52"/>
    <n v="6108.57"/>
    <n v="1"/>
    <n v="50"/>
    <x v="0"/>
    <x v="1"/>
  </r>
  <r>
    <s v="P1111"/>
    <x v="0"/>
    <x v="1"/>
    <x v="1"/>
    <x v="2"/>
    <x v="72"/>
    <n v="67294.53"/>
    <n v="26"/>
    <n v="86"/>
    <x v="0"/>
    <x v="1"/>
  </r>
  <r>
    <s v="P1112"/>
    <x v="3"/>
    <x v="2"/>
    <x v="2"/>
    <x v="1"/>
    <x v="51"/>
    <n v="53760.55"/>
    <n v="27"/>
    <n v="53"/>
    <x v="0"/>
    <x v="2"/>
  </r>
  <r>
    <s v="P1113"/>
    <x v="2"/>
    <x v="3"/>
    <x v="1"/>
    <x v="2"/>
    <x v="59"/>
    <n v="77017.679999999993"/>
    <n v="8"/>
    <n v="61"/>
    <x v="1"/>
    <x v="2"/>
  </r>
  <r>
    <s v="P1114"/>
    <x v="5"/>
    <x v="3"/>
    <x v="3"/>
    <x v="0"/>
    <x v="7"/>
    <n v="98340.86"/>
    <n v="17"/>
    <n v="63"/>
    <x v="1"/>
    <x v="1"/>
  </r>
  <r>
    <s v="P1115"/>
    <x v="3"/>
    <x v="1"/>
    <x v="3"/>
    <x v="2"/>
    <x v="26"/>
    <n v="85215.46"/>
    <n v="1"/>
    <n v="85"/>
    <x v="1"/>
    <x v="0"/>
  </r>
  <r>
    <s v="P1116"/>
    <x v="1"/>
    <x v="2"/>
    <x v="4"/>
    <x v="2"/>
    <x v="16"/>
    <n v="43531.31"/>
    <n v="16"/>
    <n v="91"/>
    <x v="0"/>
    <x v="0"/>
  </r>
  <r>
    <s v="P1117"/>
    <x v="2"/>
    <x v="2"/>
    <x v="2"/>
    <x v="1"/>
    <x v="64"/>
    <n v="45940.98"/>
    <n v="24"/>
    <n v="94"/>
    <x v="0"/>
    <x v="1"/>
  </r>
  <r>
    <s v="P1118"/>
    <x v="3"/>
    <x v="0"/>
    <x v="3"/>
    <x v="1"/>
    <x v="53"/>
    <n v="30699.53"/>
    <n v="27"/>
    <n v="63"/>
    <x v="0"/>
    <x v="1"/>
  </r>
  <r>
    <s v="P1119"/>
    <x v="2"/>
    <x v="1"/>
    <x v="1"/>
    <x v="2"/>
    <x v="39"/>
    <n v="162503.53"/>
    <n v="3"/>
    <n v="46"/>
    <x v="1"/>
    <x v="2"/>
  </r>
  <r>
    <s v="P1120"/>
    <x v="1"/>
    <x v="1"/>
    <x v="0"/>
    <x v="2"/>
    <x v="54"/>
    <n v="144601.9"/>
    <n v="14"/>
    <n v="66"/>
    <x v="1"/>
    <x v="2"/>
  </r>
  <r>
    <s v="P1121"/>
    <x v="4"/>
    <x v="2"/>
    <x v="3"/>
    <x v="0"/>
    <x v="49"/>
    <n v="75183.58"/>
    <n v="5"/>
    <n v="66"/>
    <x v="1"/>
    <x v="0"/>
  </r>
  <r>
    <s v="P1122"/>
    <x v="3"/>
    <x v="1"/>
    <x v="4"/>
    <x v="2"/>
    <x v="14"/>
    <n v="50636.82"/>
    <n v="21"/>
    <n v="41"/>
    <x v="0"/>
    <x v="1"/>
  </r>
  <r>
    <s v="P1123"/>
    <x v="5"/>
    <x v="1"/>
    <x v="3"/>
    <x v="1"/>
    <x v="55"/>
    <n v="181337.2"/>
    <n v="14"/>
    <n v="86"/>
    <x v="1"/>
    <x v="2"/>
  </r>
  <r>
    <s v="P1124"/>
    <x v="5"/>
    <x v="2"/>
    <x v="4"/>
    <x v="0"/>
    <x v="36"/>
    <n v="134527.44"/>
    <n v="11"/>
    <n v="67"/>
    <x v="1"/>
    <x v="2"/>
  </r>
  <r>
    <s v="P1125"/>
    <x v="1"/>
    <x v="0"/>
    <x v="3"/>
    <x v="0"/>
    <x v="73"/>
    <n v="46214.080000000002"/>
    <n v="14"/>
    <n v="57"/>
    <x v="0"/>
    <x v="1"/>
  </r>
  <r>
    <s v="P1126"/>
    <x v="0"/>
    <x v="2"/>
    <x v="2"/>
    <x v="0"/>
    <x v="38"/>
    <n v="178181.97"/>
    <n v="10"/>
    <n v="86"/>
    <x v="1"/>
    <x v="1"/>
  </r>
  <r>
    <s v="P1127"/>
    <x v="3"/>
    <x v="2"/>
    <x v="1"/>
    <x v="0"/>
    <x v="74"/>
    <n v="93454.58"/>
    <n v="27"/>
    <n v="43"/>
    <x v="1"/>
    <x v="1"/>
  </r>
  <r>
    <s v="P1128"/>
    <x v="1"/>
    <x v="0"/>
    <x v="4"/>
    <x v="1"/>
    <x v="7"/>
    <n v="32384.55"/>
    <n v="6"/>
    <n v="59"/>
    <x v="0"/>
    <x v="1"/>
  </r>
  <r>
    <s v="P1129"/>
    <x v="2"/>
    <x v="2"/>
    <x v="3"/>
    <x v="0"/>
    <x v="26"/>
    <n v="124568.98"/>
    <n v="15"/>
    <n v="50"/>
    <x v="1"/>
    <x v="0"/>
  </r>
  <r>
    <s v="P1130"/>
    <x v="0"/>
    <x v="1"/>
    <x v="3"/>
    <x v="0"/>
    <x v="17"/>
    <n v="194632.26"/>
    <n v="28"/>
    <n v="76"/>
    <x v="1"/>
    <x v="2"/>
  </r>
  <r>
    <s v="P1131"/>
    <x v="5"/>
    <x v="3"/>
    <x v="2"/>
    <x v="2"/>
    <x v="69"/>
    <n v="9078.43"/>
    <n v="16"/>
    <n v="76"/>
    <x v="0"/>
    <x v="0"/>
  </r>
  <r>
    <s v="P1132"/>
    <x v="0"/>
    <x v="0"/>
    <x v="2"/>
    <x v="0"/>
    <x v="15"/>
    <n v="162582.18"/>
    <n v="26"/>
    <n v="81"/>
    <x v="1"/>
    <x v="1"/>
  </r>
  <r>
    <s v="P1133"/>
    <x v="4"/>
    <x v="1"/>
    <x v="3"/>
    <x v="0"/>
    <x v="10"/>
    <n v="198595.82"/>
    <n v="27"/>
    <n v="59"/>
    <x v="1"/>
    <x v="1"/>
  </r>
  <r>
    <s v="P1134"/>
    <x v="3"/>
    <x v="0"/>
    <x v="4"/>
    <x v="0"/>
    <x v="22"/>
    <n v="77424.33"/>
    <n v="13"/>
    <n v="60"/>
    <x v="1"/>
    <x v="2"/>
  </r>
  <r>
    <s v="P1135"/>
    <x v="2"/>
    <x v="1"/>
    <x v="0"/>
    <x v="1"/>
    <x v="33"/>
    <n v="57624.09"/>
    <n v="13"/>
    <n v="61"/>
    <x v="0"/>
    <x v="2"/>
  </r>
  <r>
    <s v="P1136"/>
    <x v="4"/>
    <x v="1"/>
    <x v="1"/>
    <x v="1"/>
    <x v="60"/>
    <n v="41975.91"/>
    <n v="8"/>
    <n v="71"/>
    <x v="0"/>
    <x v="2"/>
  </r>
  <r>
    <s v="P1137"/>
    <x v="1"/>
    <x v="0"/>
    <x v="0"/>
    <x v="1"/>
    <x v="8"/>
    <n v="88656.69"/>
    <n v="22"/>
    <n v="44"/>
    <x v="1"/>
    <x v="2"/>
  </r>
  <r>
    <s v="P1138"/>
    <x v="4"/>
    <x v="3"/>
    <x v="1"/>
    <x v="0"/>
    <x v="53"/>
    <n v="107845.72"/>
    <n v="17"/>
    <n v="77"/>
    <x v="1"/>
    <x v="1"/>
  </r>
  <r>
    <s v="P1139"/>
    <x v="4"/>
    <x v="1"/>
    <x v="0"/>
    <x v="2"/>
    <x v="16"/>
    <n v="146353.65"/>
    <n v="27"/>
    <n v="87"/>
    <x v="1"/>
    <x v="0"/>
  </r>
  <r>
    <s v="P1140"/>
    <x v="5"/>
    <x v="0"/>
    <x v="2"/>
    <x v="2"/>
    <x v="32"/>
    <n v="31910.95"/>
    <n v="20"/>
    <n v="48"/>
    <x v="0"/>
    <x v="1"/>
  </r>
  <r>
    <s v="P1141"/>
    <x v="3"/>
    <x v="2"/>
    <x v="4"/>
    <x v="0"/>
    <x v="23"/>
    <n v="178126.98"/>
    <n v="19"/>
    <n v="51"/>
    <x v="1"/>
    <x v="1"/>
  </r>
  <r>
    <s v="P1142"/>
    <x v="0"/>
    <x v="2"/>
    <x v="0"/>
    <x v="1"/>
    <x v="30"/>
    <n v="34590.370000000003"/>
    <n v="26"/>
    <n v="84"/>
    <x v="0"/>
    <x v="0"/>
  </r>
  <r>
    <s v="P1143"/>
    <x v="2"/>
    <x v="0"/>
    <x v="4"/>
    <x v="1"/>
    <x v="75"/>
    <n v="30703.38"/>
    <n v="17"/>
    <n v="92"/>
    <x v="0"/>
    <x v="2"/>
  </r>
  <r>
    <s v="P1144"/>
    <x v="0"/>
    <x v="2"/>
    <x v="0"/>
    <x v="0"/>
    <x v="61"/>
    <n v="119457.25"/>
    <n v="29"/>
    <n v="92"/>
    <x v="1"/>
    <x v="1"/>
  </r>
  <r>
    <s v="P1145"/>
    <x v="0"/>
    <x v="1"/>
    <x v="2"/>
    <x v="0"/>
    <x v="27"/>
    <n v="50196.82"/>
    <n v="29"/>
    <n v="59"/>
    <x v="0"/>
    <x v="2"/>
  </r>
  <r>
    <s v="P1146"/>
    <x v="2"/>
    <x v="3"/>
    <x v="4"/>
    <x v="0"/>
    <x v="76"/>
    <n v="81244.61"/>
    <n v="26"/>
    <n v="41"/>
    <x v="1"/>
    <x v="0"/>
  </r>
  <r>
    <s v="P1147"/>
    <x v="0"/>
    <x v="0"/>
    <x v="1"/>
    <x v="1"/>
    <x v="23"/>
    <n v="166033.43"/>
    <n v="25"/>
    <n v="53"/>
    <x v="1"/>
    <x v="1"/>
  </r>
  <r>
    <s v="P1148"/>
    <x v="1"/>
    <x v="2"/>
    <x v="1"/>
    <x v="0"/>
    <x v="77"/>
    <n v="135306.15"/>
    <n v="23"/>
    <n v="66"/>
    <x v="1"/>
    <x v="1"/>
  </r>
  <r>
    <s v="P1149"/>
    <x v="2"/>
    <x v="1"/>
    <x v="3"/>
    <x v="1"/>
    <x v="7"/>
    <n v="61598.53"/>
    <n v="3"/>
    <n v="62"/>
    <x v="0"/>
    <x v="1"/>
  </r>
  <r>
    <s v="P1150"/>
    <x v="0"/>
    <x v="3"/>
    <x v="1"/>
    <x v="0"/>
    <x v="50"/>
    <n v="110767.63"/>
    <n v="14"/>
    <n v="77"/>
    <x v="1"/>
    <x v="0"/>
  </r>
  <r>
    <s v="P1151"/>
    <x v="0"/>
    <x v="2"/>
    <x v="1"/>
    <x v="0"/>
    <x v="23"/>
    <n v="161014.1"/>
    <n v="28"/>
    <n v="40"/>
    <x v="1"/>
    <x v="1"/>
  </r>
  <r>
    <s v="P1152"/>
    <x v="5"/>
    <x v="1"/>
    <x v="2"/>
    <x v="0"/>
    <x v="13"/>
    <n v="80995.41"/>
    <n v="11"/>
    <n v="98"/>
    <x v="1"/>
    <x v="1"/>
  </r>
  <r>
    <s v="P1153"/>
    <x v="4"/>
    <x v="2"/>
    <x v="3"/>
    <x v="2"/>
    <x v="73"/>
    <n v="23493.03"/>
    <n v="30"/>
    <n v="67"/>
    <x v="0"/>
    <x v="1"/>
  </r>
  <r>
    <s v="P1154"/>
    <x v="5"/>
    <x v="0"/>
    <x v="0"/>
    <x v="2"/>
    <x v="29"/>
    <n v="22059.360000000001"/>
    <n v="26"/>
    <n v="76"/>
    <x v="0"/>
    <x v="1"/>
  </r>
  <r>
    <s v="P1155"/>
    <x v="3"/>
    <x v="0"/>
    <x v="0"/>
    <x v="2"/>
    <x v="50"/>
    <n v="110991.91"/>
    <n v="6"/>
    <n v="59"/>
    <x v="1"/>
    <x v="0"/>
  </r>
  <r>
    <s v="P1156"/>
    <x v="2"/>
    <x v="3"/>
    <x v="3"/>
    <x v="1"/>
    <x v="23"/>
    <n v="49209.09"/>
    <n v="1"/>
    <n v="71"/>
    <x v="0"/>
    <x v="1"/>
  </r>
  <r>
    <s v="P1157"/>
    <x v="2"/>
    <x v="3"/>
    <x v="4"/>
    <x v="2"/>
    <x v="69"/>
    <n v="102965.75"/>
    <n v="4"/>
    <n v="64"/>
    <x v="1"/>
    <x v="0"/>
  </r>
  <r>
    <s v="P1158"/>
    <x v="0"/>
    <x v="1"/>
    <x v="2"/>
    <x v="0"/>
    <x v="21"/>
    <n v="23552.14"/>
    <n v="7"/>
    <n v="93"/>
    <x v="0"/>
    <x v="2"/>
  </r>
  <r>
    <s v="P1159"/>
    <x v="1"/>
    <x v="0"/>
    <x v="2"/>
    <x v="2"/>
    <x v="28"/>
    <n v="93734.66"/>
    <n v="28"/>
    <n v="96"/>
    <x v="1"/>
    <x v="1"/>
  </r>
  <r>
    <s v="P1160"/>
    <x v="4"/>
    <x v="1"/>
    <x v="2"/>
    <x v="0"/>
    <x v="5"/>
    <n v="67321.88"/>
    <n v="4"/>
    <n v="79"/>
    <x v="0"/>
    <x v="0"/>
  </r>
  <r>
    <s v="P1161"/>
    <x v="3"/>
    <x v="3"/>
    <x v="2"/>
    <x v="0"/>
    <x v="45"/>
    <n v="144529.57999999999"/>
    <n v="16"/>
    <n v="59"/>
    <x v="1"/>
    <x v="1"/>
  </r>
  <r>
    <s v="P1162"/>
    <x v="5"/>
    <x v="3"/>
    <x v="2"/>
    <x v="0"/>
    <x v="3"/>
    <n v="127777.95"/>
    <n v="6"/>
    <n v="59"/>
    <x v="1"/>
    <x v="1"/>
  </r>
  <r>
    <s v="P1163"/>
    <x v="1"/>
    <x v="2"/>
    <x v="3"/>
    <x v="1"/>
    <x v="78"/>
    <n v="171638.14"/>
    <n v="3"/>
    <n v="90"/>
    <x v="1"/>
    <x v="2"/>
  </r>
  <r>
    <s v="P1164"/>
    <x v="2"/>
    <x v="0"/>
    <x v="2"/>
    <x v="0"/>
    <x v="79"/>
    <n v="172377.99"/>
    <n v="30"/>
    <n v="89"/>
    <x v="1"/>
    <x v="2"/>
  </r>
  <r>
    <s v="P1165"/>
    <x v="0"/>
    <x v="2"/>
    <x v="3"/>
    <x v="0"/>
    <x v="36"/>
    <n v="30394.77"/>
    <n v="5"/>
    <n v="44"/>
    <x v="0"/>
    <x v="2"/>
  </r>
  <r>
    <s v="P1166"/>
    <x v="5"/>
    <x v="3"/>
    <x v="4"/>
    <x v="2"/>
    <x v="75"/>
    <n v="162079.04000000001"/>
    <n v="23"/>
    <n v="83"/>
    <x v="1"/>
    <x v="2"/>
  </r>
  <r>
    <s v="P1167"/>
    <x v="1"/>
    <x v="2"/>
    <x v="0"/>
    <x v="2"/>
    <x v="80"/>
    <n v="37783.78"/>
    <n v="13"/>
    <n v="58"/>
    <x v="0"/>
    <x v="1"/>
  </r>
  <r>
    <s v="P1168"/>
    <x v="0"/>
    <x v="0"/>
    <x v="3"/>
    <x v="0"/>
    <x v="10"/>
    <n v="54255.24"/>
    <n v="11"/>
    <n v="55"/>
    <x v="0"/>
    <x v="1"/>
  </r>
  <r>
    <s v="P1169"/>
    <x v="5"/>
    <x v="2"/>
    <x v="0"/>
    <x v="2"/>
    <x v="63"/>
    <n v="81059.259999999995"/>
    <n v="18"/>
    <n v="93"/>
    <x v="1"/>
    <x v="1"/>
  </r>
  <r>
    <s v="P1170"/>
    <x v="3"/>
    <x v="1"/>
    <x v="3"/>
    <x v="1"/>
    <x v="65"/>
    <n v="181154.23"/>
    <n v="11"/>
    <n v="65"/>
    <x v="1"/>
    <x v="2"/>
  </r>
  <r>
    <s v="P1171"/>
    <x v="5"/>
    <x v="1"/>
    <x v="3"/>
    <x v="0"/>
    <x v="9"/>
    <n v="12634.54"/>
    <n v="15"/>
    <n v="90"/>
    <x v="0"/>
    <x v="1"/>
  </r>
  <r>
    <s v="P1172"/>
    <x v="1"/>
    <x v="1"/>
    <x v="1"/>
    <x v="1"/>
    <x v="38"/>
    <n v="5146.29"/>
    <n v="13"/>
    <n v="72"/>
    <x v="0"/>
    <x v="1"/>
  </r>
  <r>
    <s v="P1173"/>
    <x v="3"/>
    <x v="0"/>
    <x v="0"/>
    <x v="1"/>
    <x v="75"/>
    <n v="92018.23"/>
    <n v="13"/>
    <n v="75"/>
    <x v="1"/>
    <x v="2"/>
  </r>
  <r>
    <s v="P1174"/>
    <x v="5"/>
    <x v="0"/>
    <x v="3"/>
    <x v="0"/>
    <x v="77"/>
    <n v="84955.1"/>
    <n v="25"/>
    <n v="91"/>
    <x v="1"/>
    <x v="1"/>
  </r>
  <r>
    <s v="P1175"/>
    <x v="4"/>
    <x v="1"/>
    <x v="2"/>
    <x v="2"/>
    <x v="46"/>
    <n v="140185.46"/>
    <n v="2"/>
    <n v="73"/>
    <x v="1"/>
    <x v="0"/>
  </r>
  <r>
    <s v="P1176"/>
    <x v="3"/>
    <x v="2"/>
    <x v="0"/>
    <x v="2"/>
    <x v="37"/>
    <n v="39900.1"/>
    <n v="23"/>
    <n v="57"/>
    <x v="0"/>
    <x v="0"/>
  </r>
  <r>
    <s v="P1177"/>
    <x v="4"/>
    <x v="3"/>
    <x v="0"/>
    <x v="2"/>
    <x v="28"/>
    <n v="60485.38"/>
    <n v="28"/>
    <n v="63"/>
    <x v="0"/>
    <x v="1"/>
  </r>
  <r>
    <s v="P1178"/>
    <x v="5"/>
    <x v="0"/>
    <x v="1"/>
    <x v="2"/>
    <x v="18"/>
    <n v="23908.37"/>
    <n v="14"/>
    <n v="60"/>
    <x v="0"/>
    <x v="2"/>
  </r>
  <r>
    <s v="P1179"/>
    <x v="5"/>
    <x v="2"/>
    <x v="1"/>
    <x v="0"/>
    <x v="76"/>
    <n v="128384.23"/>
    <n v="8"/>
    <n v="83"/>
    <x v="1"/>
    <x v="0"/>
  </r>
  <r>
    <s v="P1180"/>
    <x v="0"/>
    <x v="2"/>
    <x v="1"/>
    <x v="0"/>
    <x v="43"/>
    <n v="101610.02"/>
    <n v="17"/>
    <n v="91"/>
    <x v="1"/>
    <x v="0"/>
  </r>
  <r>
    <s v="P1181"/>
    <x v="4"/>
    <x v="0"/>
    <x v="3"/>
    <x v="2"/>
    <x v="11"/>
    <n v="148837.57"/>
    <n v="24"/>
    <n v="81"/>
    <x v="1"/>
    <x v="1"/>
  </r>
  <r>
    <s v="P1182"/>
    <x v="4"/>
    <x v="2"/>
    <x v="2"/>
    <x v="1"/>
    <x v="69"/>
    <n v="152513.39000000001"/>
    <n v="12"/>
    <n v="54"/>
    <x v="1"/>
    <x v="0"/>
  </r>
  <r>
    <s v="P1183"/>
    <x v="4"/>
    <x v="1"/>
    <x v="1"/>
    <x v="1"/>
    <x v="8"/>
    <n v="137862.76"/>
    <n v="19"/>
    <n v="96"/>
    <x v="1"/>
    <x v="2"/>
  </r>
  <r>
    <s v="P1184"/>
    <x v="4"/>
    <x v="0"/>
    <x v="2"/>
    <x v="0"/>
    <x v="81"/>
    <n v="152735.66"/>
    <n v="3"/>
    <n v="74"/>
    <x v="1"/>
    <x v="1"/>
  </r>
  <r>
    <s v="P1185"/>
    <x v="2"/>
    <x v="0"/>
    <x v="1"/>
    <x v="2"/>
    <x v="26"/>
    <n v="149110.43"/>
    <n v="24"/>
    <n v="63"/>
    <x v="1"/>
    <x v="0"/>
  </r>
  <r>
    <s v="P1186"/>
    <x v="1"/>
    <x v="3"/>
    <x v="1"/>
    <x v="2"/>
    <x v="50"/>
    <n v="84348.04"/>
    <n v="5"/>
    <n v="69"/>
    <x v="1"/>
    <x v="0"/>
  </r>
  <r>
    <s v="P1187"/>
    <x v="1"/>
    <x v="0"/>
    <x v="1"/>
    <x v="1"/>
    <x v="58"/>
    <n v="146382.39000000001"/>
    <n v="23"/>
    <n v="54"/>
    <x v="1"/>
    <x v="1"/>
  </r>
  <r>
    <s v="P1188"/>
    <x v="0"/>
    <x v="3"/>
    <x v="0"/>
    <x v="1"/>
    <x v="76"/>
    <n v="173398.27"/>
    <n v="2"/>
    <n v="54"/>
    <x v="1"/>
    <x v="0"/>
  </r>
  <r>
    <s v="P1189"/>
    <x v="5"/>
    <x v="1"/>
    <x v="2"/>
    <x v="2"/>
    <x v="12"/>
    <n v="41399.83"/>
    <n v="16"/>
    <n v="49"/>
    <x v="0"/>
    <x v="1"/>
  </r>
  <r>
    <s v="P1190"/>
    <x v="4"/>
    <x v="1"/>
    <x v="3"/>
    <x v="2"/>
    <x v="64"/>
    <n v="104618.52"/>
    <n v="8"/>
    <n v="80"/>
    <x v="1"/>
    <x v="1"/>
  </r>
  <r>
    <s v="P1191"/>
    <x v="2"/>
    <x v="2"/>
    <x v="4"/>
    <x v="1"/>
    <x v="40"/>
    <n v="162146.92000000001"/>
    <n v="24"/>
    <n v="55"/>
    <x v="1"/>
    <x v="2"/>
  </r>
  <r>
    <s v="P1192"/>
    <x v="0"/>
    <x v="2"/>
    <x v="2"/>
    <x v="0"/>
    <x v="82"/>
    <n v="146304.38"/>
    <n v="26"/>
    <n v="66"/>
    <x v="1"/>
    <x v="1"/>
  </r>
  <r>
    <s v="P1193"/>
    <x v="2"/>
    <x v="1"/>
    <x v="3"/>
    <x v="0"/>
    <x v="4"/>
    <n v="93274.51"/>
    <n v="12"/>
    <n v="88"/>
    <x v="1"/>
    <x v="1"/>
  </r>
  <r>
    <s v="P1194"/>
    <x v="4"/>
    <x v="1"/>
    <x v="4"/>
    <x v="2"/>
    <x v="28"/>
    <n v="25109.91"/>
    <n v="14"/>
    <n v="46"/>
    <x v="0"/>
    <x v="1"/>
  </r>
  <r>
    <s v="P1195"/>
    <x v="4"/>
    <x v="2"/>
    <x v="0"/>
    <x v="2"/>
    <x v="71"/>
    <n v="123754.79"/>
    <n v="24"/>
    <n v="60"/>
    <x v="1"/>
    <x v="0"/>
  </r>
  <r>
    <s v="P1196"/>
    <x v="2"/>
    <x v="0"/>
    <x v="2"/>
    <x v="2"/>
    <x v="18"/>
    <n v="176116.52"/>
    <n v="28"/>
    <n v="53"/>
    <x v="1"/>
    <x v="2"/>
  </r>
  <r>
    <s v="P1197"/>
    <x v="3"/>
    <x v="1"/>
    <x v="3"/>
    <x v="2"/>
    <x v="27"/>
    <n v="56812.91"/>
    <n v="6"/>
    <n v="68"/>
    <x v="0"/>
    <x v="2"/>
  </r>
  <r>
    <s v="P1198"/>
    <x v="4"/>
    <x v="1"/>
    <x v="0"/>
    <x v="2"/>
    <x v="77"/>
    <n v="52589.51"/>
    <n v="16"/>
    <n v="98"/>
    <x v="0"/>
    <x v="1"/>
  </r>
  <r>
    <s v="P1199"/>
    <x v="5"/>
    <x v="0"/>
    <x v="2"/>
    <x v="1"/>
    <x v="49"/>
    <n v="24830.58"/>
    <n v="18"/>
    <n v="91"/>
    <x v="0"/>
    <x v="0"/>
  </r>
  <r>
    <s v="P1200"/>
    <x v="2"/>
    <x v="0"/>
    <x v="1"/>
    <x v="0"/>
    <x v="61"/>
    <n v="32813.519999999997"/>
    <n v="13"/>
    <n v="84"/>
    <x v="0"/>
    <x v="1"/>
  </r>
  <r>
    <s v="P1201"/>
    <x v="1"/>
    <x v="0"/>
    <x v="1"/>
    <x v="1"/>
    <x v="13"/>
    <n v="101869.41"/>
    <n v="20"/>
    <n v="69"/>
    <x v="1"/>
    <x v="1"/>
  </r>
  <r>
    <s v="P1202"/>
    <x v="2"/>
    <x v="1"/>
    <x v="2"/>
    <x v="0"/>
    <x v="47"/>
    <n v="28419.8"/>
    <n v="15"/>
    <n v="91"/>
    <x v="0"/>
    <x v="2"/>
  </r>
  <r>
    <s v="P1203"/>
    <x v="1"/>
    <x v="1"/>
    <x v="4"/>
    <x v="2"/>
    <x v="10"/>
    <n v="161060.01"/>
    <n v="27"/>
    <n v="69"/>
    <x v="1"/>
    <x v="1"/>
  </r>
  <r>
    <s v="P1204"/>
    <x v="5"/>
    <x v="3"/>
    <x v="1"/>
    <x v="0"/>
    <x v="32"/>
    <n v="162322.45000000001"/>
    <n v="25"/>
    <n v="97"/>
    <x v="1"/>
    <x v="1"/>
  </r>
  <r>
    <s v="P1205"/>
    <x v="3"/>
    <x v="0"/>
    <x v="2"/>
    <x v="0"/>
    <x v="34"/>
    <n v="28708.77"/>
    <n v="21"/>
    <n v="73"/>
    <x v="0"/>
    <x v="2"/>
  </r>
  <r>
    <s v="P1206"/>
    <x v="4"/>
    <x v="0"/>
    <x v="3"/>
    <x v="0"/>
    <x v="61"/>
    <n v="106594.72"/>
    <n v="19"/>
    <n v="71"/>
    <x v="1"/>
    <x v="1"/>
  </r>
  <r>
    <s v="P1207"/>
    <x v="2"/>
    <x v="1"/>
    <x v="4"/>
    <x v="1"/>
    <x v="26"/>
    <n v="143149.31"/>
    <n v="24"/>
    <n v="99"/>
    <x v="1"/>
    <x v="0"/>
  </r>
  <r>
    <s v="P1208"/>
    <x v="2"/>
    <x v="2"/>
    <x v="1"/>
    <x v="2"/>
    <x v="83"/>
    <n v="185926.11"/>
    <n v="18"/>
    <n v="78"/>
    <x v="1"/>
    <x v="1"/>
  </r>
  <r>
    <s v="P1209"/>
    <x v="0"/>
    <x v="0"/>
    <x v="1"/>
    <x v="1"/>
    <x v="75"/>
    <n v="54624.83"/>
    <n v="7"/>
    <n v="57"/>
    <x v="0"/>
    <x v="2"/>
  </r>
  <r>
    <s v="P1210"/>
    <x v="5"/>
    <x v="0"/>
    <x v="0"/>
    <x v="2"/>
    <x v="47"/>
    <n v="52550.64"/>
    <n v="20"/>
    <n v="100"/>
    <x v="0"/>
    <x v="2"/>
  </r>
  <r>
    <s v="P1211"/>
    <x v="0"/>
    <x v="1"/>
    <x v="3"/>
    <x v="1"/>
    <x v="53"/>
    <n v="25431.63"/>
    <n v="4"/>
    <n v="63"/>
    <x v="0"/>
    <x v="1"/>
  </r>
  <r>
    <s v="P1212"/>
    <x v="5"/>
    <x v="0"/>
    <x v="4"/>
    <x v="0"/>
    <x v="33"/>
    <n v="116103.83"/>
    <n v="15"/>
    <n v="61"/>
    <x v="1"/>
    <x v="2"/>
  </r>
  <r>
    <s v="P1213"/>
    <x v="4"/>
    <x v="1"/>
    <x v="0"/>
    <x v="1"/>
    <x v="77"/>
    <n v="75930.89"/>
    <n v="7"/>
    <n v="55"/>
    <x v="1"/>
    <x v="1"/>
  </r>
  <r>
    <s v="P1214"/>
    <x v="2"/>
    <x v="1"/>
    <x v="2"/>
    <x v="0"/>
    <x v="22"/>
    <n v="20335.37"/>
    <n v="11"/>
    <n v="86"/>
    <x v="0"/>
    <x v="2"/>
  </r>
  <r>
    <s v="P1215"/>
    <x v="3"/>
    <x v="1"/>
    <x v="2"/>
    <x v="2"/>
    <x v="53"/>
    <n v="165500.42000000001"/>
    <n v="29"/>
    <n v="53"/>
    <x v="1"/>
    <x v="1"/>
  </r>
  <r>
    <s v="P1216"/>
    <x v="0"/>
    <x v="1"/>
    <x v="0"/>
    <x v="2"/>
    <x v="64"/>
    <n v="15118.74"/>
    <n v="3"/>
    <n v="88"/>
    <x v="0"/>
    <x v="1"/>
  </r>
  <r>
    <s v="P1217"/>
    <x v="0"/>
    <x v="0"/>
    <x v="3"/>
    <x v="1"/>
    <x v="41"/>
    <n v="75309.14"/>
    <n v="2"/>
    <n v="63"/>
    <x v="1"/>
    <x v="1"/>
  </r>
  <r>
    <s v="P1218"/>
    <x v="0"/>
    <x v="2"/>
    <x v="3"/>
    <x v="2"/>
    <x v="33"/>
    <n v="113329.22"/>
    <n v="21"/>
    <n v="95"/>
    <x v="1"/>
    <x v="2"/>
  </r>
  <r>
    <s v="P1219"/>
    <x v="3"/>
    <x v="1"/>
    <x v="0"/>
    <x v="2"/>
    <x v="5"/>
    <n v="154107.12"/>
    <n v="23"/>
    <n v="72"/>
    <x v="1"/>
    <x v="0"/>
  </r>
  <r>
    <s v="P1220"/>
    <x v="1"/>
    <x v="2"/>
    <x v="1"/>
    <x v="0"/>
    <x v="61"/>
    <n v="190491.59"/>
    <n v="22"/>
    <n v="91"/>
    <x v="1"/>
    <x v="1"/>
  </r>
  <r>
    <s v="P1221"/>
    <x v="0"/>
    <x v="0"/>
    <x v="0"/>
    <x v="2"/>
    <x v="3"/>
    <n v="127731.84"/>
    <n v="8"/>
    <n v="41"/>
    <x v="1"/>
    <x v="1"/>
  </r>
  <r>
    <s v="P1222"/>
    <x v="2"/>
    <x v="3"/>
    <x v="1"/>
    <x v="1"/>
    <x v="13"/>
    <n v="145943.85"/>
    <n v="21"/>
    <n v="83"/>
    <x v="1"/>
    <x v="1"/>
  </r>
  <r>
    <s v="P1223"/>
    <x v="2"/>
    <x v="0"/>
    <x v="0"/>
    <x v="1"/>
    <x v="35"/>
    <n v="55186.8"/>
    <n v="2"/>
    <n v="60"/>
    <x v="0"/>
    <x v="0"/>
  </r>
  <r>
    <s v="P1224"/>
    <x v="0"/>
    <x v="1"/>
    <x v="0"/>
    <x v="0"/>
    <x v="84"/>
    <n v="53935.55"/>
    <n v="13"/>
    <n v="63"/>
    <x v="0"/>
    <x v="1"/>
  </r>
  <r>
    <s v="P1225"/>
    <x v="3"/>
    <x v="3"/>
    <x v="3"/>
    <x v="0"/>
    <x v="69"/>
    <n v="33283.31"/>
    <n v="23"/>
    <n v="90"/>
    <x v="0"/>
    <x v="0"/>
  </r>
  <r>
    <s v="P1226"/>
    <x v="0"/>
    <x v="3"/>
    <x v="2"/>
    <x v="1"/>
    <x v="37"/>
    <n v="126487.1"/>
    <n v="20"/>
    <n v="67"/>
    <x v="1"/>
    <x v="0"/>
  </r>
  <r>
    <s v="P1227"/>
    <x v="5"/>
    <x v="3"/>
    <x v="1"/>
    <x v="2"/>
    <x v="34"/>
    <n v="186558.04"/>
    <n v="6"/>
    <n v="86"/>
    <x v="1"/>
    <x v="2"/>
  </r>
  <r>
    <s v="P1228"/>
    <x v="0"/>
    <x v="1"/>
    <x v="0"/>
    <x v="1"/>
    <x v="78"/>
    <n v="46787.74"/>
    <n v="1"/>
    <n v="88"/>
    <x v="0"/>
    <x v="2"/>
  </r>
  <r>
    <s v="P1229"/>
    <x v="2"/>
    <x v="0"/>
    <x v="4"/>
    <x v="0"/>
    <x v="1"/>
    <n v="125673.75"/>
    <n v="11"/>
    <n v="40"/>
    <x v="1"/>
    <x v="1"/>
  </r>
  <r>
    <s v="P1230"/>
    <x v="5"/>
    <x v="0"/>
    <x v="1"/>
    <x v="0"/>
    <x v="68"/>
    <n v="191826.39"/>
    <n v="23"/>
    <n v="55"/>
    <x v="1"/>
    <x v="2"/>
  </r>
  <r>
    <s v="P1231"/>
    <x v="1"/>
    <x v="2"/>
    <x v="0"/>
    <x v="0"/>
    <x v="8"/>
    <n v="182698.44"/>
    <n v="26"/>
    <n v="88"/>
    <x v="1"/>
    <x v="2"/>
  </r>
  <r>
    <s v="P1232"/>
    <x v="4"/>
    <x v="3"/>
    <x v="4"/>
    <x v="2"/>
    <x v="13"/>
    <n v="176922.36"/>
    <n v="21"/>
    <n v="55"/>
    <x v="1"/>
    <x v="1"/>
  </r>
  <r>
    <s v="P1233"/>
    <x v="0"/>
    <x v="1"/>
    <x v="1"/>
    <x v="2"/>
    <x v="23"/>
    <n v="138937.84"/>
    <n v="4"/>
    <n v="49"/>
    <x v="1"/>
    <x v="1"/>
  </r>
  <r>
    <s v="P1234"/>
    <x v="0"/>
    <x v="2"/>
    <x v="2"/>
    <x v="1"/>
    <x v="57"/>
    <n v="176454.3"/>
    <n v="11"/>
    <n v="89"/>
    <x v="1"/>
    <x v="2"/>
  </r>
  <r>
    <s v="P1235"/>
    <x v="2"/>
    <x v="0"/>
    <x v="0"/>
    <x v="0"/>
    <x v="58"/>
    <n v="102280.97"/>
    <n v="30"/>
    <n v="72"/>
    <x v="1"/>
    <x v="1"/>
  </r>
  <r>
    <s v="P1236"/>
    <x v="4"/>
    <x v="3"/>
    <x v="0"/>
    <x v="0"/>
    <x v="73"/>
    <n v="157815.87"/>
    <n v="22"/>
    <n v="96"/>
    <x v="1"/>
    <x v="1"/>
  </r>
  <r>
    <s v="P1237"/>
    <x v="2"/>
    <x v="3"/>
    <x v="1"/>
    <x v="0"/>
    <x v="8"/>
    <n v="103436.46"/>
    <n v="19"/>
    <n v="40"/>
    <x v="1"/>
    <x v="2"/>
  </r>
  <r>
    <s v="P1238"/>
    <x v="5"/>
    <x v="1"/>
    <x v="4"/>
    <x v="1"/>
    <x v="37"/>
    <n v="81736.19"/>
    <n v="14"/>
    <n v="76"/>
    <x v="1"/>
    <x v="0"/>
  </r>
  <r>
    <s v="P1239"/>
    <x v="0"/>
    <x v="3"/>
    <x v="3"/>
    <x v="0"/>
    <x v="23"/>
    <n v="147155.59"/>
    <n v="18"/>
    <n v="51"/>
    <x v="1"/>
    <x v="1"/>
  </r>
  <r>
    <s v="P1240"/>
    <x v="0"/>
    <x v="1"/>
    <x v="2"/>
    <x v="2"/>
    <x v="43"/>
    <n v="134114.44"/>
    <n v="22"/>
    <n v="74"/>
    <x v="1"/>
    <x v="0"/>
  </r>
  <r>
    <s v="P1241"/>
    <x v="2"/>
    <x v="1"/>
    <x v="4"/>
    <x v="0"/>
    <x v="17"/>
    <n v="47008.27"/>
    <n v="23"/>
    <n v="58"/>
    <x v="0"/>
    <x v="2"/>
  </r>
  <r>
    <s v="P1242"/>
    <x v="5"/>
    <x v="1"/>
    <x v="1"/>
    <x v="2"/>
    <x v="70"/>
    <n v="80388.87"/>
    <n v="30"/>
    <n v="77"/>
    <x v="1"/>
    <x v="2"/>
  </r>
  <r>
    <s v="P1243"/>
    <x v="0"/>
    <x v="0"/>
    <x v="0"/>
    <x v="1"/>
    <x v="78"/>
    <n v="11747.81"/>
    <n v="30"/>
    <n v="46"/>
    <x v="0"/>
    <x v="2"/>
  </r>
  <r>
    <s v="P1244"/>
    <x v="1"/>
    <x v="1"/>
    <x v="1"/>
    <x v="2"/>
    <x v="75"/>
    <n v="74021.64"/>
    <n v="2"/>
    <n v="68"/>
    <x v="0"/>
    <x v="2"/>
  </r>
  <r>
    <s v="P1245"/>
    <x v="0"/>
    <x v="2"/>
    <x v="1"/>
    <x v="1"/>
    <x v="17"/>
    <n v="21897.57"/>
    <n v="9"/>
    <n v="46"/>
    <x v="0"/>
    <x v="2"/>
  </r>
  <r>
    <s v="P1246"/>
    <x v="4"/>
    <x v="3"/>
    <x v="4"/>
    <x v="2"/>
    <x v="7"/>
    <n v="69964.509999999995"/>
    <n v="3"/>
    <n v="58"/>
    <x v="0"/>
    <x v="1"/>
  </r>
  <r>
    <s v="P1247"/>
    <x v="2"/>
    <x v="1"/>
    <x v="4"/>
    <x v="1"/>
    <x v="76"/>
    <n v="85643.23"/>
    <n v="15"/>
    <n v="45"/>
    <x v="1"/>
    <x v="0"/>
  </r>
  <r>
    <s v="P1248"/>
    <x v="3"/>
    <x v="3"/>
    <x v="4"/>
    <x v="1"/>
    <x v="44"/>
    <n v="197349.1"/>
    <n v="20"/>
    <n v="72"/>
    <x v="1"/>
    <x v="0"/>
  </r>
  <r>
    <s v="P1249"/>
    <x v="4"/>
    <x v="1"/>
    <x v="4"/>
    <x v="0"/>
    <x v="79"/>
    <n v="190398.07"/>
    <n v="14"/>
    <n v="76"/>
    <x v="1"/>
    <x v="2"/>
  </r>
  <r>
    <s v="P1250"/>
    <x v="0"/>
    <x v="1"/>
    <x v="1"/>
    <x v="0"/>
    <x v="18"/>
    <n v="4643.7299999999996"/>
    <n v="3"/>
    <n v="93"/>
    <x v="0"/>
    <x v="2"/>
  </r>
  <r>
    <s v="P1251"/>
    <x v="1"/>
    <x v="2"/>
    <x v="1"/>
    <x v="1"/>
    <x v="66"/>
    <n v="81202.13"/>
    <n v="21"/>
    <n v="87"/>
    <x v="1"/>
    <x v="1"/>
  </r>
  <r>
    <s v="P1252"/>
    <x v="2"/>
    <x v="2"/>
    <x v="1"/>
    <x v="0"/>
    <x v="62"/>
    <n v="99791.21"/>
    <n v="24"/>
    <n v="100"/>
    <x v="1"/>
    <x v="2"/>
  </r>
  <r>
    <s v="P1253"/>
    <x v="3"/>
    <x v="2"/>
    <x v="3"/>
    <x v="0"/>
    <x v="6"/>
    <n v="100432.07"/>
    <n v="11"/>
    <n v="73"/>
    <x v="1"/>
    <x v="2"/>
  </r>
  <r>
    <s v="P1254"/>
    <x v="3"/>
    <x v="2"/>
    <x v="4"/>
    <x v="1"/>
    <x v="85"/>
    <n v="57361.02"/>
    <n v="20"/>
    <n v="81"/>
    <x v="0"/>
    <x v="2"/>
  </r>
  <r>
    <s v="P1255"/>
    <x v="2"/>
    <x v="0"/>
    <x v="1"/>
    <x v="0"/>
    <x v="82"/>
    <n v="139280.57999999999"/>
    <n v="7"/>
    <n v="95"/>
    <x v="1"/>
    <x v="1"/>
  </r>
  <r>
    <s v="P1256"/>
    <x v="5"/>
    <x v="1"/>
    <x v="0"/>
    <x v="0"/>
    <x v="63"/>
    <n v="185590.17"/>
    <n v="7"/>
    <n v="73"/>
    <x v="1"/>
    <x v="1"/>
  </r>
  <r>
    <s v="P1257"/>
    <x v="5"/>
    <x v="0"/>
    <x v="2"/>
    <x v="0"/>
    <x v="73"/>
    <n v="172008.83"/>
    <n v="29"/>
    <n v="98"/>
    <x v="1"/>
    <x v="1"/>
  </r>
  <r>
    <s v="P1258"/>
    <x v="5"/>
    <x v="2"/>
    <x v="1"/>
    <x v="1"/>
    <x v="74"/>
    <n v="31788.97"/>
    <n v="10"/>
    <n v="84"/>
    <x v="0"/>
    <x v="1"/>
  </r>
  <r>
    <s v="P1259"/>
    <x v="2"/>
    <x v="3"/>
    <x v="2"/>
    <x v="1"/>
    <x v="67"/>
    <n v="94958.92"/>
    <n v="6"/>
    <n v="75"/>
    <x v="1"/>
    <x v="2"/>
  </r>
  <r>
    <s v="P1260"/>
    <x v="5"/>
    <x v="1"/>
    <x v="3"/>
    <x v="1"/>
    <x v="74"/>
    <n v="35354.32"/>
    <n v="6"/>
    <n v="54"/>
    <x v="0"/>
    <x v="1"/>
  </r>
  <r>
    <s v="P1261"/>
    <x v="2"/>
    <x v="3"/>
    <x v="0"/>
    <x v="2"/>
    <x v="72"/>
    <n v="160028.20000000001"/>
    <n v="4"/>
    <n v="63"/>
    <x v="1"/>
    <x v="1"/>
  </r>
  <r>
    <s v="P1262"/>
    <x v="2"/>
    <x v="1"/>
    <x v="1"/>
    <x v="1"/>
    <x v="75"/>
    <n v="59234.9"/>
    <n v="15"/>
    <n v="81"/>
    <x v="0"/>
    <x v="2"/>
  </r>
  <r>
    <s v="P1263"/>
    <x v="2"/>
    <x v="2"/>
    <x v="1"/>
    <x v="0"/>
    <x v="47"/>
    <n v="16356.72"/>
    <n v="10"/>
    <n v="58"/>
    <x v="0"/>
    <x v="2"/>
  </r>
  <r>
    <s v="P1264"/>
    <x v="4"/>
    <x v="1"/>
    <x v="4"/>
    <x v="1"/>
    <x v="15"/>
    <n v="17283.400000000001"/>
    <n v="17"/>
    <n v="67"/>
    <x v="0"/>
    <x v="1"/>
  </r>
  <r>
    <s v="P1265"/>
    <x v="4"/>
    <x v="2"/>
    <x v="0"/>
    <x v="2"/>
    <x v="4"/>
    <n v="175268.68"/>
    <n v="22"/>
    <n v="44"/>
    <x v="1"/>
    <x v="1"/>
  </r>
  <r>
    <s v="P1266"/>
    <x v="2"/>
    <x v="3"/>
    <x v="1"/>
    <x v="2"/>
    <x v="83"/>
    <n v="166151.92000000001"/>
    <n v="1"/>
    <n v="95"/>
    <x v="1"/>
    <x v="1"/>
  </r>
  <r>
    <s v="P1267"/>
    <x v="1"/>
    <x v="1"/>
    <x v="2"/>
    <x v="2"/>
    <x v="56"/>
    <n v="31587.83"/>
    <n v="20"/>
    <n v="78"/>
    <x v="0"/>
    <x v="1"/>
  </r>
  <r>
    <s v="P1268"/>
    <x v="5"/>
    <x v="0"/>
    <x v="4"/>
    <x v="1"/>
    <x v="67"/>
    <n v="113655.92"/>
    <n v="16"/>
    <n v="70"/>
    <x v="1"/>
    <x v="2"/>
  </r>
  <r>
    <s v="P1269"/>
    <x v="4"/>
    <x v="2"/>
    <x v="0"/>
    <x v="0"/>
    <x v="63"/>
    <n v="175628.23"/>
    <n v="1"/>
    <n v="94"/>
    <x v="1"/>
    <x v="1"/>
  </r>
  <r>
    <s v="P1270"/>
    <x v="5"/>
    <x v="1"/>
    <x v="2"/>
    <x v="0"/>
    <x v="35"/>
    <n v="69850.91"/>
    <n v="16"/>
    <n v="99"/>
    <x v="0"/>
    <x v="0"/>
  </r>
  <r>
    <s v="P1271"/>
    <x v="2"/>
    <x v="1"/>
    <x v="0"/>
    <x v="0"/>
    <x v="68"/>
    <n v="133327.62"/>
    <n v="4"/>
    <n v="87"/>
    <x v="1"/>
    <x v="2"/>
  </r>
  <r>
    <s v="P1272"/>
    <x v="0"/>
    <x v="3"/>
    <x v="2"/>
    <x v="1"/>
    <x v="26"/>
    <n v="7932.58"/>
    <n v="2"/>
    <n v="84"/>
    <x v="0"/>
    <x v="0"/>
  </r>
  <r>
    <s v="P1273"/>
    <x v="0"/>
    <x v="2"/>
    <x v="4"/>
    <x v="2"/>
    <x v="84"/>
    <n v="169402.17"/>
    <n v="13"/>
    <n v="84"/>
    <x v="1"/>
    <x v="1"/>
  </r>
  <r>
    <s v="P1274"/>
    <x v="4"/>
    <x v="3"/>
    <x v="1"/>
    <x v="2"/>
    <x v="71"/>
    <n v="199869.24"/>
    <n v="27"/>
    <n v="87"/>
    <x v="1"/>
    <x v="0"/>
  </r>
  <r>
    <s v="P1275"/>
    <x v="4"/>
    <x v="2"/>
    <x v="0"/>
    <x v="1"/>
    <x v="20"/>
    <n v="137080.39000000001"/>
    <n v="23"/>
    <n v="79"/>
    <x v="1"/>
    <x v="0"/>
  </r>
  <r>
    <s v="P1276"/>
    <x v="0"/>
    <x v="3"/>
    <x v="0"/>
    <x v="1"/>
    <x v="4"/>
    <n v="125128.76"/>
    <n v="12"/>
    <n v="60"/>
    <x v="1"/>
    <x v="1"/>
  </r>
  <r>
    <s v="P1277"/>
    <x v="0"/>
    <x v="0"/>
    <x v="1"/>
    <x v="1"/>
    <x v="21"/>
    <n v="62838.01"/>
    <n v="30"/>
    <n v="79"/>
    <x v="0"/>
    <x v="2"/>
  </r>
  <r>
    <s v="P1278"/>
    <x v="2"/>
    <x v="3"/>
    <x v="3"/>
    <x v="2"/>
    <x v="73"/>
    <n v="106824.76"/>
    <n v="17"/>
    <n v="71"/>
    <x v="1"/>
    <x v="1"/>
  </r>
  <r>
    <s v="P1279"/>
    <x v="5"/>
    <x v="3"/>
    <x v="2"/>
    <x v="2"/>
    <x v="15"/>
    <n v="23060.74"/>
    <n v="5"/>
    <n v="41"/>
    <x v="0"/>
    <x v="1"/>
  </r>
  <r>
    <s v="P1280"/>
    <x v="2"/>
    <x v="3"/>
    <x v="4"/>
    <x v="1"/>
    <x v="71"/>
    <n v="86957.89"/>
    <n v="8"/>
    <n v="59"/>
    <x v="1"/>
    <x v="0"/>
  </r>
  <r>
    <s v="P1281"/>
    <x v="4"/>
    <x v="2"/>
    <x v="1"/>
    <x v="0"/>
    <x v="46"/>
    <n v="137900.64000000001"/>
    <n v="14"/>
    <n v="64"/>
    <x v="1"/>
    <x v="0"/>
  </r>
  <r>
    <s v="P1282"/>
    <x v="1"/>
    <x v="3"/>
    <x v="3"/>
    <x v="1"/>
    <x v="67"/>
    <n v="50962.15"/>
    <n v="25"/>
    <n v="65"/>
    <x v="0"/>
    <x v="2"/>
  </r>
  <r>
    <s v="P1283"/>
    <x v="2"/>
    <x v="2"/>
    <x v="3"/>
    <x v="0"/>
    <x v="19"/>
    <n v="35147.9"/>
    <n v="25"/>
    <n v="51"/>
    <x v="0"/>
    <x v="2"/>
  </r>
  <r>
    <s v="P1284"/>
    <x v="5"/>
    <x v="1"/>
    <x v="3"/>
    <x v="1"/>
    <x v="86"/>
    <n v="137726.19"/>
    <n v="9"/>
    <n v="71"/>
    <x v="1"/>
    <x v="1"/>
  </r>
  <r>
    <s v="P1285"/>
    <x v="2"/>
    <x v="0"/>
    <x v="2"/>
    <x v="1"/>
    <x v="38"/>
    <n v="117445.87"/>
    <n v="1"/>
    <n v="89"/>
    <x v="1"/>
    <x v="1"/>
  </r>
  <r>
    <s v="P1286"/>
    <x v="3"/>
    <x v="1"/>
    <x v="2"/>
    <x v="0"/>
    <x v="43"/>
    <n v="135749.99"/>
    <n v="24"/>
    <n v="70"/>
    <x v="1"/>
    <x v="0"/>
  </r>
  <r>
    <s v="P1287"/>
    <x v="1"/>
    <x v="1"/>
    <x v="3"/>
    <x v="0"/>
    <x v="57"/>
    <n v="24390.05"/>
    <n v="17"/>
    <n v="51"/>
    <x v="0"/>
    <x v="2"/>
  </r>
  <r>
    <s v="P1288"/>
    <x v="2"/>
    <x v="3"/>
    <x v="4"/>
    <x v="0"/>
    <x v="6"/>
    <n v="109766.23"/>
    <n v="13"/>
    <n v="57"/>
    <x v="1"/>
    <x v="2"/>
  </r>
  <r>
    <s v="P1289"/>
    <x v="4"/>
    <x v="0"/>
    <x v="2"/>
    <x v="1"/>
    <x v="69"/>
    <n v="30643.19"/>
    <n v="13"/>
    <n v="75"/>
    <x v="0"/>
    <x v="0"/>
  </r>
  <r>
    <s v="P1290"/>
    <x v="4"/>
    <x v="0"/>
    <x v="0"/>
    <x v="1"/>
    <x v="66"/>
    <n v="108867.8"/>
    <n v="17"/>
    <n v="74"/>
    <x v="1"/>
    <x v="1"/>
  </r>
  <r>
    <s v="P1291"/>
    <x v="3"/>
    <x v="2"/>
    <x v="0"/>
    <x v="2"/>
    <x v="41"/>
    <n v="142241.79"/>
    <n v="19"/>
    <n v="62"/>
    <x v="1"/>
    <x v="1"/>
  </r>
  <r>
    <s v="P1292"/>
    <x v="4"/>
    <x v="3"/>
    <x v="4"/>
    <x v="0"/>
    <x v="14"/>
    <n v="33286.449999999997"/>
    <n v="17"/>
    <n v="83"/>
    <x v="0"/>
    <x v="1"/>
  </r>
  <r>
    <s v="P1293"/>
    <x v="4"/>
    <x v="0"/>
    <x v="0"/>
    <x v="1"/>
    <x v="69"/>
    <n v="70999.03"/>
    <n v="7"/>
    <n v="55"/>
    <x v="0"/>
    <x v="0"/>
  </r>
  <r>
    <s v="P1294"/>
    <x v="5"/>
    <x v="2"/>
    <x v="0"/>
    <x v="2"/>
    <x v="8"/>
    <n v="18285.22"/>
    <n v="3"/>
    <n v="50"/>
    <x v="0"/>
    <x v="2"/>
  </r>
  <r>
    <s v="P1295"/>
    <x v="3"/>
    <x v="2"/>
    <x v="1"/>
    <x v="1"/>
    <x v="24"/>
    <n v="108969.85"/>
    <n v="12"/>
    <n v="47"/>
    <x v="1"/>
    <x v="1"/>
  </r>
  <r>
    <s v="P1296"/>
    <x v="4"/>
    <x v="3"/>
    <x v="4"/>
    <x v="1"/>
    <x v="47"/>
    <n v="30781.93"/>
    <n v="7"/>
    <n v="91"/>
    <x v="0"/>
    <x v="2"/>
  </r>
  <r>
    <s v="P1297"/>
    <x v="4"/>
    <x v="1"/>
    <x v="2"/>
    <x v="1"/>
    <x v="57"/>
    <n v="60734.48"/>
    <n v="28"/>
    <n v="66"/>
    <x v="0"/>
    <x v="2"/>
  </r>
  <r>
    <s v="P1298"/>
    <x v="3"/>
    <x v="1"/>
    <x v="1"/>
    <x v="1"/>
    <x v="2"/>
    <n v="73054.080000000002"/>
    <n v="29"/>
    <n v="46"/>
    <x v="0"/>
    <x v="1"/>
  </r>
  <r>
    <s v="P1299"/>
    <x v="5"/>
    <x v="3"/>
    <x v="0"/>
    <x v="1"/>
    <x v="48"/>
    <n v="196841.25"/>
    <n v="26"/>
    <n v="59"/>
    <x v="1"/>
    <x v="2"/>
  </r>
  <r>
    <s v="P1300"/>
    <x v="2"/>
    <x v="1"/>
    <x v="1"/>
    <x v="2"/>
    <x v="78"/>
    <n v="121165.95"/>
    <n v="5"/>
    <n v="83"/>
    <x v="1"/>
    <x v="2"/>
  </r>
  <r>
    <s v="P1301"/>
    <x v="0"/>
    <x v="0"/>
    <x v="0"/>
    <x v="2"/>
    <x v="83"/>
    <n v="146554.85"/>
    <n v="23"/>
    <n v="52"/>
    <x v="1"/>
    <x v="1"/>
  </r>
  <r>
    <s v="P1302"/>
    <x v="2"/>
    <x v="3"/>
    <x v="4"/>
    <x v="1"/>
    <x v="8"/>
    <n v="197491.32"/>
    <n v="15"/>
    <n v="44"/>
    <x v="1"/>
    <x v="2"/>
  </r>
  <r>
    <s v="P1303"/>
    <x v="4"/>
    <x v="2"/>
    <x v="1"/>
    <x v="0"/>
    <x v="33"/>
    <n v="37774.18"/>
    <n v="16"/>
    <n v="59"/>
    <x v="0"/>
    <x v="2"/>
  </r>
  <r>
    <s v="P1304"/>
    <x v="5"/>
    <x v="0"/>
    <x v="3"/>
    <x v="0"/>
    <x v="13"/>
    <n v="154307.26"/>
    <n v="26"/>
    <n v="76"/>
    <x v="1"/>
    <x v="1"/>
  </r>
  <r>
    <s v="P1305"/>
    <x v="1"/>
    <x v="0"/>
    <x v="3"/>
    <x v="1"/>
    <x v="82"/>
    <n v="33249.980000000003"/>
    <n v="28"/>
    <n v="64"/>
    <x v="0"/>
    <x v="1"/>
  </r>
  <r>
    <s v="P1306"/>
    <x v="4"/>
    <x v="3"/>
    <x v="0"/>
    <x v="1"/>
    <x v="62"/>
    <n v="116621.16"/>
    <n v="10"/>
    <n v="47"/>
    <x v="1"/>
    <x v="2"/>
  </r>
  <r>
    <s v="P1307"/>
    <x v="0"/>
    <x v="2"/>
    <x v="1"/>
    <x v="0"/>
    <x v="18"/>
    <n v="76467.12"/>
    <n v="30"/>
    <n v="80"/>
    <x v="1"/>
    <x v="2"/>
  </r>
  <r>
    <s v="P1308"/>
    <x v="3"/>
    <x v="0"/>
    <x v="2"/>
    <x v="0"/>
    <x v="75"/>
    <n v="141710.41"/>
    <n v="8"/>
    <n v="65"/>
    <x v="1"/>
    <x v="2"/>
  </r>
  <r>
    <s v="P1309"/>
    <x v="3"/>
    <x v="1"/>
    <x v="1"/>
    <x v="0"/>
    <x v="14"/>
    <n v="72969.59"/>
    <n v="5"/>
    <n v="61"/>
    <x v="0"/>
    <x v="1"/>
  </r>
  <r>
    <s v="P1310"/>
    <x v="2"/>
    <x v="3"/>
    <x v="4"/>
    <x v="2"/>
    <x v="77"/>
    <n v="147365.56"/>
    <n v="5"/>
    <n v="59"/>
    <x v="1"/>
    <x v="1"/>
  </r>
  <r>
    <s v="P1311"/>
    <x v="5"/>
    <x v="1"/>
    <x v="4"/>
    <x v="0"/>
    <x v="12"/>
    <n v="165720.9"/>
    <n v="27"/>
    <n v="57"/>
    <x v="1"/>
    <x v="1"/>
  </r>
  <r>
    <s v="P1312"/>
    <x v="2"/>
    <x v="1"/>
    <x v="3"/>
    <x v="2"/>
    <x v="69"/>
    <n v="15748.75"/>
    <n v="5"/>
    <n v="60"/>
    <x v="0"/>
    <x v="0"/>
  </r>
  <r>
    <s v="P1313"/>
    <x v="2"/>
    <x v="1"/>
    <x v="3"/>
    <x v="1"/>
    <x v="78"/>
    <n v="74946.83"/>
    <n v="6"/>
    <n v="80"/>
    <x v="0"/>
    <x v="2"/>
  </r>
  <r>
    <s v="P1314"/>
    <x v="4"/>
    <x v="3"/>
    <x v="3"/>
    <x v="0"/>
    <x v="10"/>
    <n v="182264.91"/>
    <n v="26"/>
    <n v="83"/>
    <x v="1"/>
    <x v="1"/>
  </r>
  <r>
    <s v="P1315"/>
    <x v="4"/>
    <x v="2"/>
    <x v="2"/>
    <x v="2"/>
    <x v="43"/>
    <n v="17235.04"/>
    <n v="11"/>
    <n v="41"/>
    <x v="0"/>
    <x v="0"/>
  </r>
  <r>
    <s v="P1316"/>
    <x v="0"/>
    <x v="0"/>
    <x v="1"/>
    <x v="0"/>
    <x v="75"/>
    <n v="95532.62"/>
    <n v="25"/>
    <n v="63"/>
    <x v="1"/>
    <x v="2"/>
  </r>
  <r>
    <s v="P1317"/>
    <x v="1"/>
    <x v="3"/>
    <x v="0"/>
    <x v="0"/>
    <x v="56"/>
    <n v="21152.54"/>
    <n v="15"/>
    <n v="56"/>
    <x v="0"/>
    <x v="1"/>
  </r>
  <r>
    <s v="P1318"/>
    <x v="0"/>
    <x v="2"/>
    <x v="0"/>
    <x v="2"/>
    <x v="38"/>
    <n v="105708.64"/>
    <n v="16"/>
    <n v="89"/>
    <x v="1"/>
    <x v="1"/>
  </r>
  <r>
    <s v="P1319"/>
    <x v="4"/>
    <x v="3"/>
    <x v="1"/>
    <x v="0"/>
    <x v="57"/>
    <n v="144635.9"/>
    <n v="6"/>
    <n v="92"/>
    <x v="1"/>
    <x v="2"/>
  </r>
  <r>
    <s v="P1320"/>
    <x v="0"/>
    <x v="3"/>
    <x v="1"/>
    <x v="2"/>
    <x v="61"/>
    <n v="53658.96"/>
    <n v="30"/>
    <n v="48"/>
    <x v="0"/>
    <x v="1"/>
  </r>
  <r>
    <s v="P1321"/>
    <x v="3"/>
    <x v="2"/>
    <x v="4"/>
    <x v="2"/>
    <x v="74"/>
    <n v="70981"/>
    <n v="15"/>
    <n v="94"/>
    <x v="0"/>
    <x v="1"/>
  </r>
  <r>
    <s v="P1322"/>
    <x v="1"/>
    <x v="1"/>
    <x v="4"/>
    <x v="1"/>
    <x v="66"/>
    <n v="176807.46"/>
    <n v="18"/>
    <n v="72"/>
    <x v="1"/>
    <x v="1"/>
  </r>
  <r>
    <s v="P1323"/>
    <x v="3"/>
    <x v="0"/>
    <x v="4"/>
    <x v="1"/>
    <x v="44"/>
    <n v="92673.22"/>
    <n v="28"/>
    <n v="54"/>
    <x v="1"/>
    <x v="0"/>
  </r>
  <r>
    <s v="P1324"/>
    <x v="5"/>
    <x v="1"/>
    <x v="0"/>
    <x v="1"/>
    <x v="53"/>
    <n v="160662.59"/>
    <n v="1"/>
    <n v="99"/>
    <x v="1"/>
    <x v="1"/>
  </r>
  <r>
    <s v="P1325"/>
    <x v="0"/>
    <x v="3"/>
    <x v="2"/>
    <x v="1"/>
    <x v="47"/>
    <n v="17595.830000000002"/>
    <n v="24"/>
    <n v="95"/>
    <x v="0"/>
    <x v="2"/>
  </r>
  <r>
    <s v="P1326"/>
    <x v="3"/>
    <x v="1"/>
    <x v="1"/>
    <x v="2"/>
    <x v="67"/>
    <n v="131506.07"/>
    <n v="26"/>
    <n v="56"/>
    <x v="1"/>
    <x v="2"/>
  </r>
  <r>
    <s v="P1327"/>
    <x v="1"/>
    <x v="0"/>
    <x v="2"/>
    <x v="2"/>
    <x v="69"/>
    <n v="22995.19"/>
    <n v="11"/>
    <n v="86"/>
    <x v="0"/>
    <x v="0"/>
  </r>
  <r>
    <s v="P1328"/>
    <x v="2"/>
    <x v="3"/>
    <x v="3"/>
    <x v="0"/>
    <x v="27"/>
    <n v="29353.17"/>
    <n v="28"/>
    <n v="44"/>
    <x v="0"/>
    <x v="2"/>
  </r>
  <r>
    <s v="P1329"/>
    <x v="2"/>
    <x v="0"/>
    <x v="0"/>
    <x v="2"/>
    <x v="31"/>
    <n v="82810.63"/>
    <n v="3"/>
    <n v="47"/>
    <x v="1"/>
    <x v="1"/>
  </r>
  <r>
    <s v="P1330"/>
    <x v="3"/>
    <x v="2"/>
    <x v="1"/>
    <x v="0"/>
    <x v="32"/>
    <n v="79266.11"/>
    <n v="27"/>
    <n v="83"/>
    <x v="1"/>
    <x v="1"/>
  </r>
  <r>
    <s v="P1331"/>
    <x v="4"/>
    <x v="3"/>
    <x v="4"/>
    <x v="1"/>
    <x v="49"/>
    <n v="67551.88"/>
    <n v="12"/>
    <n v="67"/>
    <x v="0"/>
    <x v="0"/>
  </r>
  <r>
    <s v="P1332"/>
    <x v="2"/>
    <x v="1"/>
    <x v="2"/>
    <x v="1"/>
    <x v="29"/>
    <n v="8810.3700000000008"/>
    <n v="30"/>
    <n v="71"/>
    <x v="0"/>
    <x v="1"/>
  </r>
  <r>
    <s v="P1333"/>
    <x v="3"/>
    <x v="2"/>
    <x v="2"/>
    <x v="2"/>
    <x v="46"/>
    <n v="182970.74"/>
    <n v="23"/>
    <n v="95"/>
    <x v="1"/>
    <x v="0"/>
  </r>
  <r>
    <s v="P1334"/>
    <x v="1"/>
    <x v="2"/>
    <x v="2"/>
    <x v="0"/>
    <x v="47"/>
    <n v="50035.44"/>
    <n v="25"/>
    <n v="56"/>
    <x v="0"/>
    <x v="2"/>
  </r>
  <r>
    <s v="P1335"/>
    <x v="4"/>
    <x v="3"/>
    <x v="4"/>
    <x v="0"/>
    <x v="42"/>
    <n v="187994.33"/>
    <n v="29"/>
    <n v="42"/>
    <x v="1"/>
    <x v="1"/>
  </r>
  <r>
    <s v="P1336"/>
    <x v="0"/>
    <x v="3"/>
    <x v="3"/>
    <x v="0"/>
    <x v="87"/>
    <n v="160200.66"/>
    <n v="20"/>
    <n v="55"/>
    <x v="1"/>
    <x v="0"/>
  </r>
  <r>
    <s v="P1337"/>
    <x v="4"/>
    <x v="0"/>
    <x v="1"/>
    <x v="2"/>
    <x v="51"/>
    <n v="177880.62"/>
    <n v="4"/>
    <n v="96"/>
    <x v="1"/>
    <x v="2"/>
  </r>
  <r>
    <s v="P1338"/>
    <x v="2"/>
    <x v="2"/>
    <x v="3"/>
    <x v="0"/>
    <x v="15"/>
    <n v="168879.38"/>
    <n v="7"/>
    <n v="63"/>
    <x v="1"/>
    <x v="1"/>
  </r>
  <r>
    <s v="P1339"/>
    <x v="2"/>
    <x v="2"/>
    <x v="4"/>
    <x v="0"/>
    <x v="42"/>
    <n v="46864.7"/>
    <n v="5"/>
    <n v="91"/>
    <x v="0"/>
    <x v="1"/>
  </r>
  <r>
    <s v="P1340"/>
    <x v="1"/>
    <x v="3"/>
    <x v="0"/>
    <x v="1"/>
    <x v="49"/>
    <n v="189859.16"/>
    <n v="4"/>
    <n v="64"/>
    <x v="1"/>
    <x v="0"/>
  </r>
  <r>
    <s v="P1341"/>
    <x v="5"/>
    <x v="1"/>
    <x v="3"/>
    <x v="1"/>
    <x v="14"/>
    <n v="195313.79"/>
    <n v="18"/>
    <n v="87"/>
    <x v="1"/>
    <x v="1"/>
  </r>
  <r>
    <s v="P1342"/>
    <x v="4"/>
    <x v="3"/>
    <x v="1"/>
    <x v="0"/>
    <x v="37"/>
    <n v="78115.460000000006"/>
    <n v="26"/>
    <n v="41"/>
    <x v="1"/>
    <x v="0"/>
  </r>
  <r>
    <s v="P1343"/>
    <x v="2"/>
    <x v="2"/>
    <x v="0"/>
    <x v="1"/>
    <x v="51"/>
    <n v="126153.08"/>
    <n v="8"/>
    <n v="79"/>
    <x v="1"/>
    <x v="2"/>
  </r>
  <r>
    <s v="P1344"/>
    <x v="3"/>
    <x v="0"/>
    <x v="3"/>
    <x v="0"/>
    <x v="18"/>
    <n v="193270.44"/>
    <n v="9"/>
    <n v="43"/>
    <x v="1"/>
    <x v="2"/>
  </r>
  <r>
    <s v="P1345"/>
    <x v="0"/>
    <x v="1"/>
    <x v="0"/>
    <x v="2"/>
    <x v="37"/>
    <n v="57883.35"/>
    <n v="22"/>
    <n v="41"/>
    <x v="0"/>
    <x v="0"/>
  </r>
  <r>
    <s v="P1346"/>
    <x v="1"/>
    <x v="1"/>
    <x v="0"/>
    <x v="1"/>
    <x v="18"/>
    <n v="23241.89"/>
    <n v="28"/>
    <n v="63"/>
    <x v="0"/>
    <x v="2"/>
  </r>
  <r>
    <s v="P1347"/>
    <x v="0"/>
    <x v="1"/>
    <x v="3"/>
    <x v="2"/>
    <x v="0"/>
    <n v="14004.85"/>
    <n v="13"/>
    <n v="92"/>
    <x v="0"/>
    <x v="0"/>
  </r>
  <r>
    <s v="P1348"/>
    <x v="3"/>
    <x v="2"/>
    <x v="1"/>
    <x v="0"/>
    <x v="22"/>
    <n v="107542.49"/>
    <n v="1"/>
    <n v="69"/>
    <x v="1"/>
    <x v="2"/>
  </r>
  <r>
    <s v="P1349"/>
    <x v="0"/>
    <x v="0"/>
    <x v="4"/>
    <x v="0"/>
    <x v="80"/>
    <n v="60191.68"/>
    <n v="20"/>
    <n v="41"/>
    <x v="0"/>
    <x v="1"/>
  </r>
  <r>
    <s v="P1350"/>
    <x v="5"/>
    <x v="0"/>
    <x v="4"/>
    <x v="2"/>
    <x v="78"/>
    <n v="166844.68"/>
    <n v="2"/>
    <n v="80"/>
    <x v="1"/>
    <x v="2"/>
  </r>
  <r>
    <s v="P1351"/>
    <x v="5"/>
    <x v="0"/>
    <x v="1"/>
    <x v="1"/>
    <x v="30"/>
    <n v="22990.880000000001"/>
    <n v="20"/>
    <n v="64"/>
    <x v="0"/>
    <x v="0"/>
  </r>
  <r>
    <s v="P1352"/>
    <x v="4"/>
    <x v="3"/>
    <x v="0"/>
    <x v="1"/>
    <x v="70"/>
    <n v="104203.72"/>
    <n v="25"/>
    <n v="53"/>
    <x v="1"/>
    <x v="2"/>
  </r>
  <r>
    <s v="P1353"/>
    <x v="4"/>
    <x v="2"/>
    <x v="4"/>
    <x v="1"/>
    <x v="54"/>
    <n v="28833.83"/>
    <n v="12"/>
    <n v="69"/>
    <x v="0"/>
    <x v="2"/>
  </r>
  <r>
    <s v="P1354"/>
    <x v="2"/>
    <x v="1"/>
    <x v="3"/>
    <x v="2"/>
    <x v="57"/>
    <n v="8250.98"/>
    <n v="29"/>
    <n v="44"/>
    <x v="0"/>
    <x v="2"/>
  </r>
  <r>
    <s v="P1355"/>
    <x v="4"/>
    <x v="3"/>
    <x v="0"/>
    <x v="0"/>
    <x v="39"/>
    <n v="15661.54"/>
    <n v="19"/>
    <n v="51"/>
    <x v="0"/>
    <x v="2"/>
  </r>
  <r>
    <s v="P1356"/>
    <x v="4"/>
    <x v="1"/>
    <x v="4"/>
    <x v="2"/>
    <x v="34"/>
    <n v="198515.7"/>
    <n v="21"/>
    <n v="93"/>
    <x v="1"/>
    <x v="2"/>
  </r>
  <r>
    <s v="P1357"/>
    <x v="3"/>
    <x v="2"/>
    <x v="2"/>
    <x v="2"/>
    <x v="31"/>
    <n v="183821.7"/>
    <n v="23"/>
    <n v="97"/>
    <x v="1"/>
    <x v="1"/>
  </r>
  <r>
    <s v="P1358"/>
    <x v="0"/>
    <x v="2"/>
    <x v="4"/>
    <x v="2"/>
    <x v="69"/>
    <n v="91450.4"/>
    <n v="24"/>
    <n v="51"/>
    <x v="1"/>
    <x v="0"/>
  </r>
  <r>
    <s v="P1359"/>
    <x v="3"/>
    <x v="2"/>
    <x v="3"/>
    <x v="0"/>
    <x v="24"/>
    <n v="41216.46"/>
    <n v="20"/>
    <n v="71"/>
    <x v="0"/>
    <x v="1"/>
  </r>
  <r>
    <s v="P1360"/>
    <x v="3"/>
    <x v="3"/>
    <x v="1"/>
    <x v="0"/>
    <x v="51"/>
    <n v="62507.06"/>
    <n v="8"/>
    <n v="50"/>
    <x v="0"/>
    <x v="2"/>
  </r>
  <r>
    <s v="P1361"/>
    <x v="2"/>
    <x v="2"/>
    <x v="0"/>
    <x v="1"/>
    <x v="56"/>
    <n v="8715.9"/>
    <n v="18"/>
    <n v="91"/>
    <x v="0"/>
    <x v="1"/>
  </r>
  <r>
    <s v="P1362"/>
    <x v="0"/>
    <x v="3"/>
    <x v="1"/>
    <x v="2"/>
    <x v="51"/>
    <n v="135564.47"/>
    <n v="1"/>
    <n v="68"/>
    <x v="1"/>
    <x v="2"/>
  </r>
  <r>
    <s v="P1363"/>
    <x v="5"/>
    <x v="3"/>
    <x v="0"/>
    <x v="1"/>
    <x v="61"/>
    <n v="152012.68"/>
    <n v="26"/>
    <n v="46"/>
    <x v="1"/>
    <x v="1"/>
  </r>
  <r>
    <s v="P1364"/>
    <x v="4"/>
    <x v="3"/>
    <x v="0"/>
    <x v="2"/>
    <x v="40"/>
    <n v="58815.96"/>
    <n v="14"/>
    <n v="66"/>
    <x v="0"/>
    <x v="2"/>
  </r>
  <r>
    <s v="P1365"/>
    <x v="3"/>
    <x v="1"/>
    <x v="1"/>
    <x v="0"/>
    <x v="67"/>
    <n v="129199.53"/>
    <n v="1"/>
    <n v="40"/>
    <x v="1"/>
    <x v="2"/>
  </r>
  <r>
    <s v="P1366"/>
    <x v="1"/>
    <x v="2"/>
    <x v="3"/>
    <x v="0"/>
    <x v="46"/>
    <n v="89832.39"/>
    <n v="18"/>
    <n v="96"/>
    <x v="1"/>
    <x v="0"/>
  </r>
  <r>
    <s v="P1367"/>
    <x v="1"/>
    <x v="1"/>
    <x v="3"/>
    <x v="0"/>
    <x v="81"/>
    <n v="115206.42"/>
    <n v="6"/>
    <n v="63"/>
    <x v="1"/>
    <x v="1"/>
  </r>
  <r>
    <s v="P1368"/>
    <x v="1"/>
    <x v="1"/>
    <x v="0"/>
    <x v="1"/>
    <x v="7"/>
    <n v="46208.9"/>
    <n v="18"/>
    <n v="75"/>
    <x v="0"/>
    <x v="1"/>
  </r>
  <r>
    <s v="P1369"/>
    <x v="3"/>
    <x v="2"/>
    <x v="1"/>
    <x v="1"/>
    <x v="83"/>
    <n v="152496.29999999999"/>
    <n v="22"/>
    <n v="79"/>
    <x v="1"/>
    <x v="1"/>
  </r>
  <r>
    <s v="P1370"/>
    <x v="1"/>
    <x v="1"/>
    <x v="1"/>
    <x v="0"/>
    <x v="40"/>
    <n v="182651.36"/>
    <n v="28"/>
    <n v="67"/>
    <x v="1"/>
    <x v="2"/>
  </r>
  <r>
    <s v="P1371"/>
    <x v="2"/>
    <x v="1"/>
    <x v="2"/>
    <x v="0"/>
    <x v="2"/>
    <n v="74700.039999999994"/>
    <n v="20"/>
    <n v="63"/>
    <x v="0"/>
    <x v="1"/>
  </r>
  <r>
    <s v="P1372"/>
    <x v="1"/>
    <x v="3"/>
    <x v="2"/>
    <x v="1"/>
    <x v="61"/>
    <n v="96269.21"/>
    <n v="6"/>
    <n v="76"/>
    <x v="1"/>
    <x v="1"/>
  </r>
  <r>
    <s v="P1373"/>
    <x v="2"/>
    <x v="1"/>
    <x v="0"/>
    <x v="1"/>
    <x v="82"/>
    <n v="187603.56"/>
    <n v="4"/>
    <n v="51"/>
    <x v="1"/>
    <x v="1"/>
  </r>
  <r>
    <s v="P1374"/>
    <x v="3"/>
    <x v="1"/>
    <x v="2"/>
    <x v="0"/>
    <x v="13"/>
    <n v="19353.43"/>
    <n v="12"/>
    <n v="100"/>
    <x v="0"/>
    <x v="1"/>
  </r>
  <r>
    <s v="P1375"/>
    <x v="2"/>
    <x v="1"/>
    <x v="2"/>
    <x v="2"/>
    <x v="1"/>
    <n v="3978.97"/>
    <n v="10"/>
    <n v="93"/>
    <x v="0"/>
    <x v="1"/>
  </r>
  <r>
    <s v="P1376"/>
    <x v="5"/>
    <x v="3"/>
    <x v="3"/>
    <x v="0"/>
    <x v="22"/>
    <n v="35161.89"/>
    <n v="21"/>
    <n v="40"/>
    <x v="0"/>
    <x v="2"/>
  </r>
  <r>
    <s v="P1377"/>
    <x v="4"/>
    <x v="2"/>
    <x v="3"/>
    <x v="1"/>
    <x v="9"/>
    <n v="48180.63"/>
    <n v="22"/>
    <n v="51"/>
    <x v="0"/>
    <x v="1"/>
  </r>
  <r>
    <s v="P1378"/>
    <x v="4"/>
    <x v="0"/>
    <x v="2"/>
    <x v="1"/>
    <x v="78"/>
    <n v="120973.32"/>
    <n v="5"/>
    <n v="71"/>
    <x v="1"/>
    <x v="2"/>
  </r>
  <r>
    <s v="P1379"/>
    <x v="5"/>
    <x v="3"/>
    <x v="1"/>
    <x v="1"/>
    <x v="63"/>
    <n v="73521.710000000006"/>
    <n v="22"/>
    <n v="76"/>
    <x v="0"/>
    <x v="1"/>
  </r>
  <r>
    <s v="P1380"/>
    <x v="4"/>
    <x v="1"/>
    <x v="3"/>
    <x v="0"/>
    <x v="54"/>
    <n v="198453.72"/>
    <n v="19"/>
    <n v="75"/>
    <x v="1"/>
    <x v="2"/>
  </r>
  <r>
    <s v="P1381"/>
    <x v="4"/>
    <x v="3"/>
    <x v="0"/>
    <x v="2"/>
    <x v="69"/>
    <n v="34296.07"/>
    <n v="25"/>
    <n v="60"/>
    <x v="0"/>
    <x v="0"/>
  </r>
  <r>
    <s v="P1382"/>
    <x v="3"/>
    <x v="0"/>
    <x v="3"/>
    <x v="0"/>
    <x v="16"/>
    <n v="166442.22"/>
    <n v="28"/>
    <n v="80"/>
    <x v="1"/>
    <x v="0"/>
  </r>
  <r>
    <s v="P1383"/>
    <x v="0"/>
    <x v="3"/>
    <x v="2"/>
    <x v="2"/>
    <x v="32"/>
    <n v="42080.7"/>
    <n v="26"/>
    <n v="100"/>
    <x v="0"/>
    <x v="1"/>
  </r>
  <r>
    <s v="P1384"/>
    <x v="2"/>
    <x v="3"/>
    <x v="4"/>
    <x v="0"/>
    <x v="34"/>
    <n v="39271.31"/>
    <n v="22"/>
    <n v="44"/>
    <x v="0"/>
    <x v="2"/>
  </r>
  <r>
    <s v="P1385"/>
    <x v="0"/>
    <x v="2"/>
    <x v="2"/>
    <x v="0"/>
    <x v="88"/>
    <n v="188237.03"/>
    <n v="27"/>
    <n v="43"/>
    <x v="1"/>
    <x v="2"/>
  </r>
  <r>
    <s v="P1386"/>
    <x v="5"/>
    <x v="3"/>
    <x v="1"/>
    <x v="1"/>
    <x v="64"/>
    <n v="88936.77"/>
    <n v="25"/>
    <n v="100"/>
    <x v="1"/>
    <x v="1"/>
  </r>
  <r>
    <s v="P1387"/>
    <x v="3"/>
    <x v="1"/>
    <x v="1"/>
    <x v="0"/>
    <x v="39"/>
    <n v="55708.89"/>
    <n v="13"/>
    <n v="40"/>
    <x v="0"/>
    <x v="2"/>
  </r>
  <r>
    <s v="P1388"/>
    <x v="2"/>
    <x v="0"/>
    <x v="2"/>
    <x v="2"/>
    <x v="9"/>
    <n v="43711.41"/>
    <n v="30"/>
    <n v="99"/>
    <x v="0"/>
    <x v="1"/>
  </r>
  <r>
    <s v="P1389"/>
    <x v="3"/>
    <x v="3"/>
    <x v="4"/>
    <x v="2"/>
    <x v="70"/>
    <n v="62271.77"/>
    <n v="17"/>
    <n v="84"/>
    <x v="0"/>
    <x v="2"/>
  </r>
  <r>
    <s v="P1390"/>
    <x v="1"/>
    <x v="2"/>
    <x v="1"/>
    <x v="2"/>
    <x v="43"/>
    <n v="124240.43"/>
    <n v="21"/>
    <n v="83"/>
    <x v="1"/>
    <x v="0"/>
  </r>
  <r>
    <s v="P1391"/>
    <x v="1"/>
    <x v="2"/>
    <x v="4"/>
    <x v="1"/>
    <x v="87"/>
    <n v="61634.04"/>
    <n v="2"/>
    <n v="86"/>
    <x v="0"/>
    <x v="0"/>
  </r>
  <r>
    <s v="P1392"/>
    <x v="3"/>
    <x v="3"/>
    <x v="2"/>
    <x v="2"/>
    <x v="40"/>
    <n v="145458.72"/>
    <n v="24"/>
    <n v="91"/>
    <x v="1"/>
    <x v="2"/>
  </r>
  <r>
    <s v="P1393"/>
    <x v="2"/>
    <x v="1"/>
    <x v="4"/>
    <x v="0"/>
    <x v="76"/>
    <n v="155164.76"/>
    <n v="15"/>
    <n v="59"/>
    <x v="1"/>
    <x v="0"/>
  </r>
  <r>
    <s v="P1394"/>
    <x v="3"/>
    <x v="2"/>
    <x v="0"/>
    <x v="1"/>
    <x v="77"/>
    <n v="175317.6"/>
    <n v="29"/>
    <n v="49"/>
    <x v="1"/>
    <x v="1"/>
  </r>
  <r>
    <s v="P1395"/>
    <x v="3"/>
    <x v="3"/>
    <x v="3"/>
    <x v="2"/>
    <x v="72"/>
    <n v="82118.69"/>
    <n v="12"/>
    <n v="58"/>
    <x v="1"/>
    <x v="1"/>
  </r>
  <r>
    <s v="P1396"/>
    <x v="1"/>
    <x v="1"/>
    <x v="2"/>
    <x v="2"/>
    <x v="34"/>
    <n v="8355"/>
    <n v="7"/>
    <n v="53"/>
    <x v="0"/>
    <x v="2"/>
  </r>
  <r>
    <s v="P1397"/>
    <x v="2"/>
    <x v="0"/>
    <x v="3"/>
    <x v="2"/>
    <x v="49"/>
    <n v="172646.27"/>
    <n v="15"/>
    <n v="71"/>
    <x v="1"/>
    <x v="0"/>
  </r>
  <r>
    <s v="P1398"/>
    <x v="4"/>
    <x v="3"/>
    <x v="1"/>
    <x v="1"/>
    <x v="75"/>
    <n v="126276.63"/>
    <n v="24"/>
    <n v="74"/>
    <x v="1"/>
    <x v="2"/>
  </r>
  <r>
    <s v="P1399"/>
    <x v="2"/>
    <x v="0"/>
    <x v="1"/>
    <x v="1"/>
    <x v="49"/>
    <n v="188986.13"/>
    <n v="8"/>
    <n v="77"/>
    <x v="1"/>
    <x v="0"/>
  </r>
  <r>
    <s v="P1400"/>
    <x v="1"/>
    <x v="1"/>
    <x v="3"/>
    <x v="1"/>
    <x v="41"/>
    <n v="141006.32999999999"/>
    <n v="1"/>
    <n v="68"/>
    <x v="1"/>
    <x v="1"/>
  </r>
  <r>
    <s v="P1401"/>
    <x v="1"/>
    <x v="1"/>
    <x v="3"/>
    <x v="2"/>
    <x v="11"/>
    <n v="13218.82"/>
    <n v="2"/>
    <n v="46"/>
    <x v="0"/>
    <x v="1"/>
  </r>
  <r>
    <s v="P1402"/>
    <x v="0"/>
    <x v="1"/>
    <x v="2"/>
    <x v="2"/>
    <x v="65"/>
    <n v="67820.899999999994"/>
    <n v="4"/>
    <n v="75"/>
    <x v="0"/>
    <x v="2"/>
  </r>
  <r>
    <s v="P1403"/>
    <x v="0"/>
    <x v="3"/>
    <x v="2"/>
    <x v="0"/>
    <x v="53"/>
    <n v="41931.949999999997"/>
    <n v="3"/>
    <n v="45"/>
    <x v="0"/>
    <x v="1"/>
  </r>
  <r>
    <s v="P1404"/>
    <x v="3"/>
    <x v="0"/>
    <x v="3"/>
    <x v="2"/>
    <x v="44"/>
    <n v="137097.98000000001"/>
    <n v="18"/>
    <n v="56"/>
    <x v="1"/>
    <x v="0"/>
  </r>
  <r>
    <s v="P1405"/>
    <x v="3"/>
    <x v="3"/>
    <x v="3"/>
    <x v="0"/>
    <x v="45"/>
    <n v="111041.52"/>
    <n v="24"/>
    <n v="60"/>
    <x v="1"/>
    <x v="1"/>
  </r>
  <r>
    <s v="P1406"/>
    <x v="2"/>
    <x v="2"/>
    <x v="1"/>
    <x v="0"/>
    <x v="66"/>
    <n v="49496.68"/>
    <n v="4"/>
    <n v="62"/>
    <x v="0"/>
    <x v="1"/>
  </r>
  <r>
    <s v="P1407"/>
    <x v="0"/>
    <x v="1"/>
    <x v="0"/>
    <x v="2"/>
    <x v="6"/>
    <n v="121318.92"/>
    <n v="25"/>
    <n v="44"/>
    <x v="1"/>
    <x v="2"/>
  </r>
  <r>
    <s v="P1408"/>
    <x v="5"/>
    <x v="0"/>
    <x v="3"/>
    <x v="2"/>
    <x v="73"/>
    <n v="62344.86"/>
    <n v="27"/>
    <n v="91"/>
    <x v="0"/>
    <x v="1"/>
  </r>
  <r>
    <s v="P1409"/>
    <x v="2"/>
    <x v="3"/>
    <x v="1"/>
    <x v="1"/>
    <x v="62"/>
    <n v="52339.54"/>
    <n v="14"/>
    <n v="62"/>
    <x v="0"/>
    <x v="2"/>
  </r>
  <r>
    <s v="P1410"/>
    <x v="1"/>
    <x v="1"/>
    <x v="4"/>
    <x v="1"/>
    <x v="14"/>
    <n v="33517.620000000003"/>
    <n v="22"/>
    <n v="91"/>
    <x v="0"/>
    <x v="1"/>
  </r>
  <r>
    <s v="P1411"/>
    <x v="4"/>
    <x v="1"/>
    <x v="0"/>
    <x v="2"/>
    <x v="61"/>
    <n v="123601.18"/>
    <n v="12"/>
    <n v="57"/>
    <x v="1"/>
    <x v="1"/>
  </r>
  <r>
    <s v="P1412"/>
    <x v="2"/>
    <x v="2"/>
    <x v="1"/>
    <x v="1"/>
    <x v="89"/>
    <n v="77643.61"/>
    <n v="20"/>
    <n v="79"/>
    <x v="1"/>
    <x v="1"/>
  </r>
  <r>
    <s v="P1413"/>
    <x v="1"/>
    <x v="2"/>
    <x v="0"/>
    <x v="2"/>
    <x v="38"/>
    <n v="113315.52"/>
    <n v="9"/>
    <n v="100"/>
    <x v="1"/>
    <x v="1"/>
  </r>
  <r>
    <s v="P1414"/>
    <x v="1"/>
    <x v="1"/>
    <x v="0"/>
    <x v="0"/>
    <x v="56"/>
    <n v="146120.45000000001"/>
    <n v="27"/>
    <n v="44"/>
    <x v="1"/>
    <x v="1"/>
  </r>
  <r>
    <s v="P1415"/>
    <x v="5"/>
    <x v="3"/>
    <x v="4"/>
    <x v="1"/>
    <x v="4"/>
    <n v="4637.95"/>
    <n v="6"/>
    <n v="61"/>
    <x v="0"/>
    <x v="1"/>
  </r>
  <r>
    <s v="P1416"/>
    <x v="1"/>
    <x v="1"/>
    <x v="4"/>
    <x v="1"/>
    <x v="41"/>
    <n v="166677.70000000001"/>
    <n v="14"/>
    <n v="60"/>
    <x v="1"/>
    <x v="1"/>
  </r>
  <r>
    <s v="P1417"/>
    <x v="3"/>
    <x v="3"/>
    <x v="0"/>
    <x v="1"/>
    <x v="64"/>
    <n v="84970.98"/>
    <n v="10"/>
    <n v="100"/>
    <x v="1"/>
    <x v="1"/>
  </r>
  <r>
    <s v="P1418"/>
    <x v="1"/>
    <x v="2"/>
    <x v="3"/>
    <x v="1"/>
    <x v="18"/>
    <n v="93675.66"/>
    <n v="20"/>
    <n v="78"/>
    <x v="1"/>
    <x v="2"/>
  </r>
  <r>
    <s v="P1419"/>
    <x v="0"/>
    <x v="2"/>
    <x v="3"/>
    <x v="1"/>
    <x v="57"/>
    <n v="93257.94"/>
    <n v="9"/>
    <n v="82"/>
    <x v="1"/>
    <x v="2"/>
  </r>
  <r>
    <s v="P1420"/>
    <x v="2"/>
    <x v="0"/>
    <x v="3"/>
    <x v="0"/>
    <x v="82"/>
    <n v="65864.850000000006"/>
    <n v="22"/>
    <n v="95"/>
    <x v="0"/>
    <x v="1"/>
  </r>
  <r>
    <s v="P1421"/>
    <x v="2"/>
    <x v="0"/>
    <x v="2"/>
    <x v="2"/>
    <x v="13"/>
    <n v="27754.48"/>
    <n v="13"/>
    <n v="45"/>
    <x v="0"/>
    <x v="1"/>
  </r>
  <r>
    <s v="P1422"/>
    <x v="4"/>
    <x v="2"/>
    <x v="1"/>
    <x v="2"/>
    <x v="65"/>
    <n v="178243.01"/>
    <n v="15"/>
    <n v="87"/>
    <x v="1"/>
    <x v="2"/>
  </r>
  <r>
    <s v="P1423"/>
    <x v="4"/>
    <x v="2"/>
    <x v="2"/>
    <x v="2"/>
    <x v="27"/>
    <n v="86670.61"/>
    <n v="17"/>
    <n v="60"/>
    <x v="1"/>
    <x v="2"/>
  </r>
  <r>
    <s v="P1424"/>
    <x v="4"/>
    <x v="2"/>
    <x v="3"/>
    <x v="2"/>
    <x v="12"/>
    <n v="66846.02"/>
    <n v="6"/>
    <n v="73"/>
    <x v="0"/>
    <x v="1"/>
  </r>
  <r>
    <s v="P1425"/>
    <x v="2"/>
    <x v="1"/>
    <x v="4"/>
    <x v="1"/>
    <x v="43"/>
    <n v="143304.72"/>
    <n v="17"/>
    <n v="90"/>
    <x v="1"/>
    <x v="0"/>
  </r>
  <r>
    <s v="P1426"/>
    <x v="1"/>
    <x v="2"/>
    <x v="4"/>
    <x v="1"/>
    <x v="28"/>
    <n v="189016.41"/>
    <n v="12"/>
    <n v="88"/>
    <x v="1"/>
    <x v="1"/>
  </r>
  <r>
    <s v="P1427"/>
    <x v="1"/>
    <x v="0"/>
    <x v="4"/>
    <x v="2"/>
    <x v="41"/>
    <n v="130440.68"/>
    <n v="9"/>
    <n v="52"/>
    <x v="1"/>
    <x v="1"/>
  </r>
  <r>
    <s v="P1428"/>
    <x v="0"/>
    <x v="0"/>
    <x v="2"/>
    <x v="2"/>
    <x v="72"/>
    <n v="77940.55"/>
    <n v="22"/>
    <n v="57"/>
    <x v="1"/>
    <x v="1"/>
  </r>
  <r>
    <s v="P1429"/>
    <x v="1"/>
    <x v="0"/>
    <x v="4"/>
    <x v="0"/>
    <x v="55"/>
    <n v="89520.22"/>
    <n v="2"/>
    <n v="65"/>
    <x v="1"/>
    <x v="2"/>
  </r>
  <r>
    <s v="P1430"/>
    <x v="1"/>
    <x v="0"/>
    <x v="3"/>
    <x v="1"/>
    <x v="36"/>
    <n v="130891.41"/>
    <n v="9"/>
    <n v="45"/>
    <x v="1"/>
    <x v="2"/>
  </r>
  <r>
    <s v="P1431"/>
    <x v="3"/>
    <x v="3"/>
    <x v="2"/>
    <x v="2"/>
    <x v="48"/>
    <n v="33560.699999999997"/>
    <n v="25"/>
    <n v="78"/>
    <x v="0"/>
    <x v="2"/>
  </r>
  <r>
    <s v="P1432"/>
    <x v="5"/>
    <x v="3"/>
    <x v="4"/>
    <x v="0"/>
    <x v="23"/>
    <n v="147238.28"/>
    <n v="24"/>
    <n v="95"/>
    <x v="1"/>
    <x v="1"/>
  </r>
  <r>
    <s v="P1433"/>
    <x v="5"/>
    <x v="2"/>
    <x v="2"/>
    <x v="2"/>
    <x v="80"/>
    <n v="25471.09"/>
    <n v="19"/>
    <n v="46"/>
    <x v="0"/>
    <x v="1"/>
  </r>
  <r>
    <s v="P1434"/>
    <x v="1"/>
    <x v="0"/>
    <x v="4"/>
    <x v="1"/>
    <x v="31"/>
    <n v="112601"/>
    <n v="7"/>
    <n v="68"/>
    <x v="1"/>
    <x v="1"/>
  </r>
  <r>
    <s v="P1435"/>
    <x v="3"/>
    <x v="3"/>
    <x v="2"/>
    <x v="2"/>
    <x v="75"/>
    <n v="170549.07"/>
    <n v="23"/>
    <n v="99"/>
    <x v="1"/>
    <x v="2"/>
  </r>
  <r>
    <s v="P1436"/>
    <x v="0"/>
    <x v="1"/>
    <x v="2"/>
    <x v="1"/>
    <x v="47"/>
    <n v="68409.53"/>
    <n v="25"/>
    <n v="95"/>
    <x v="0"/>
    <x v="2"/>
  </r>
  <r>
    <s v="P1437"/>
    <x v="0"/>
    <x v="1"/>
    <x v="3"/>
    <x v="0"/>
    <x v="69"/>
    <n v="75273.59"/>
    <n v="27"/>
    <n v="81"/>
    <x v="1"/>
    <x v="0"/>
  </r>
  <r>
    <s v="P1438"/>
    <x v="4"/>
    <x v="3"/>
    <x v="3"/>
    <x v="0"/>
    <x v="8"/>
    <n v="31763.29"/>
    <n v="28"/>
    <n v="76"/>
    <x v="0"/>
    <x v="2"/>
  </r>
  <r>
    <s v="P1439"/>
    <x v="5"/>
    <x v="1"/>
    <x v="1"/>
    <x v="0"/>
    <x v="37"/>
    <n v="94319.57"/>
    <n v="12"/>
    <n v="74"/>
    <x v="1"/>
    <x v="0"/>
  </r>
  <r>
    <s v="P1440"/>
    <x v="5"/>
    <x v="3"/>
    <x v="0"/>
    <x v="2"/>
    <x v="32"/>
    <n v="102066.95"/>
    <n v="18"/>
    <n v="100"/>
    <x v="1"/>
    <x v="1"/>
  </r>
  <r>
    <s v="P1441"/>
    <x v="3"/>
    <x v="1"/>
    <x v="4"/>
    <x v="0"/>
    <x v="15"/>
    <n v="94295.51"/>
    <n v="14"/>
    <n v="58"/>
    <x v="1"/>
    <x v="1"/>
  </r>
  <r>
    <s v="P1442"/>
    <x v="2"/>
    <x v="3"/>
    <x v="2"/>
    <x v="1"/>
    <x v="3"/>
    <n v="34785.9"/>
    <n v="20"/>
    <n v="52"/>
    <x v="0"/>
    <x v="1"/>
  </r>
  <r>
    <s v="P1443"/>
    <x v="3"/>
    <x v="2"/>
    <x v="4"/>
    <x v="1"/>
    <x v="15"/>
    <n v="100789.32"/>
    <n v="8"/>
    <n v="41"/>
    <x v="1"/>
    <x v="1"/>
  </r>
  <r>
    <s v="P1444"/>
    <x v="5"/>
    <x v="0"/>
    <x v="0"/>
    <x v="2"/>
    <x v="83"/>
    <n v="148475.35"/>
    <n v="3"/>
    <n v="91"/>
    <x v="1"/>
    <x v="1"/>
  </r>
  <r>
    <s v="P1445"/>
    <x v="4"/>
    <x v="1"/>
    <x v="0"/>
    <x v="1"/>
    <x v="7"/>
    <n v="87343.56"/>
    <n v="21"/>
    <n v="82"/>
    <x v="1"/>
    <x v="1"/>
  </r>
  <r>
    <s v="P1446"/>
    <x v="4"/>
    <x v="2"/>
    <x v="3"/>
    <x v="2"/>
    <x v="65"/>
    <n v="187441.77"/>
    <n v="18"/>
    <n v="47"/>
    <x v="1"/>
    <x v="2"/>
  </r>
  <r>
    <s v="P1447"/>
    <x v="5"/>
    <x v="1"/>
    <x v="2"/>
    <x v="0"/>
    <x v="29"/>
    <n v="166090.72"/>
    <n v="8"/>
    <n v="83"/>
    <x v="1"/>
    <x v="1"/>
  </r>
  <r>
    <s v="P1448"/>
    <x v="0"/>
    <x v="2"/>
    <x v="4"/>
    <x v="1"/>
    <x v="16"/>
    <n v="114719.57"/>
    <n v="11"/>
    <n v="87"/>
    <x v="1"/>
    <x v="0"/>
  </r>
  <r>
    <s v="P1449"/>
    <x v="2"/>
    <x v="3"/>
    <x v="4"/>
    <x v="0"/>
    <x v="21"/>
    <n v="62991.199999999997"/>
    <n v="17"/>
    <n v="49"/>
    <x v="0"/>
    <x v="2"/>
  </r>
  <r>
    <s v="P1450"/>
    <x v="3"/>
    <x v="2"/>
    <x v="0"/>
    <x v="2"/>
    <x v="20"/>
    <n v="92547.92"/>
    <n v="19"/>
    <n v="43"/>
    <x v="1"/>
    <x v="0"/>
  </r>
  <r>
    <s v="P1451"/>
    <x v="2"/>
    <x v="2"/>
    <x v="2"/>
    <x v="2"/>
    <x v="30"/>
    <n v="51355.74"/>
    <n v="16"/>
    <n v="82"/>
    <x v="0"/>
    <x v="0"/>
  </r>
  <r>
    <s v="P1452"/>
    <x v="4"/>
    <x v="0"/>
    <x v="0"/>
    <x v="2"/>
    <x v="74"/>
    <n v="199853.71"/>
    <n v="8"/>
    <n v="78"/>
    <x v="1"/>
    <x v="1"/>
  </r>
  <r>
    <s v="P1453"/>
    <x v="3"/>
    <x v="3"/>
    <x v="2"/>
    <x v="2"/>
    <x v="33"/>
    <n v="148918.47"/>
    <n v="10"/>
    <n v="85"/>
    <x v="1"/>
    <x v="2"/>
  </r>
  <r>
    <s v="P1454"/>
    <x v="0"/>
    <x v="2"/>
    <x v="1"/>
    <x v="0"/>
    <x v="17"/>
    <n v="33787.760000000002"/>
    <n v="7"/>
    <n v="89"/>
    <x v="0"/>
    <x v="2"/>
  </r>
  <r>
    <s v="P1455"/>
    <x v="3"/>
    <x v="0"/>
    <x v="1"/>
    <x v="1"/>
    <x v="9"/>
    <n v="93480.9"/>
    <n v="20"/>
    <n v="71"/>
    <x v="1"/>
    <x v="1"/>
  </r>
  <r>
    <s v="P1456"/>
    <x v="3"/>
    <x v="3"/>
    <x v="1"/>
    <x v="2"/>
    <x v="46"/>
    <n v="21007.86"/>
    <n v="13"/>
    <n v="41"/>
    <x v="0"/>
    <x v="0"/>
  </r>
  <r>
    <s v="P1457"/>
    <x v="3"/>
    <x v="3"/>
    <x v="0"/>
    <x v="2"/>
    <x v="88"/>
    <n v="91364.17"/>
    <n v="9"/>
    <n v="68"/>
    <x v="1"/>
    <x v="2"/>
  </r>
  <r>
    <s v="P1458"/>
    <x v="0"/>
    <x v="2"/>
    <x v="3"/>
    <x v="0"/>
    <x v="52"/>
    <n v="78053.31"/>
    <n v="28"/>
    <n v="75"/>
    <x v="1"/>
    <x v="1"/>
  </r>
  <r>
    <s v="P1459"/>
    <x v="2"/>
    <x v="3"/>
    <x v="3"/>
    <x v="1"/>
    <x v="69"/>
    <n v="53411.87"/>
    <n v="11"/>
    <n v="87"/>
    <x v="0"/>
    <x v="0"/>
  </r>
  <r>
    <s v="P1460"/>
    <x v="3"/>
    <x v="2"/>
    <x v="4"/>
    <x v="2"/>
    <x v="66"/>
    <n v="175047.97"/>
    <n v="26"/>
    <n v="48"/>
    <x v="1"/>
    <x v="1"/>
  </r>
  <r>
    <s v="P1461"/>
    <x v="4"/>
    <x v="3"/>
    <x v="2"/>
    <x v="0"/>
    <x v="78"/>
    <n v="11832.16"/>
    <n v="13"/>
    <n v="68"/>
    <x v="0"/>
    <x v="2"/>
  </r>
  <r>
    <s v="P1462"/>
    <x v="2"/>
    <x v="3"/>
    <x v="1"/>
    <x v="2"/>
    <x v="58"/>
    <n v="71245.39"/>
    <n v="11"/>
    <n v="60"/>
    <x v="0"/>
    <x v="1"/>
  </r>
  <r>
    <s v="P1463"/>
    <x v="4"/>
    <x v="0"/>
    <x v="3"/>
    <x v="1"/>
    <x v="87"/>
    <n v="167379.32"/>
    <n v="10"/>
    <n v="76"/>
    <x v="1"/>
    <x v="0"/>
  </r>
  <r>
    <s v="P1464"/>
    <x v="3"/>
    <x v="0"/>
    <x v="0"/>
    <x v="1"/>
    <x v="83"/>
    <n v="160480.32000000001"/>
    <n v="17"/>
    <n v="62"/>
    <x v="1"/>
    <x v="1"/>
  </r>
  <r>
    <s v="P1465"/>
    <x v="3"/>
    <x v="0"/>
    <x v="0"/>
    <x v="2"/>
    <x v="59"/>
    <n v="26180.15"/>
    <n v="16"/>
    <n v="66"/>
    <x v="0"/>
    <x v="2"/>
  </r>
  <r>
    <s v="P1466"/>
    <x v="0"/>
    <x v="1"/>
    <x v="2"/>
    <x v="1"/>
    <x v="14"/>
    <n v="153593.79999999999"/>
    <n v="5"/>
    <n v="49"/>
    <x v="1"/>
    <x v="1"/>
  </r>
  <r>
    <s v="P1467"/>
    <x v="2"/>
    <x v="0"/>
    <x v="2"/>
    <x v="0"/>
    <x v="1"/>
    <n v="118133.91"/>
    <n v="12"/>
    <n v="99"/>
    <x v="1"/>
    <x v="1"/>
  </r>
  <r>
    <s v="P1468"/>
    <x v="1"/>
    <x v="3"/>
    <x v="2"/>
    <x v="2"/>
    <x v="22"/>
    <n v="69602.539999999994"/>
    <n v="2"/>
    <n v="82"/>
    <x v="0"/>
    <x v="2"/>
  </r>
  <r>
    <s v="P1469"/>
    <x v="3"/>
    <x v="3"/>
    <x v="4"/>
    <x v="0"/>
    <x v="76"/>
    <n v="149519.22"/>
    <n v="9"/>
    <n v="86"/>
    <x v="1"/>
    <x v="0"/>
  </r>
  <r>
    <s v="P1470"/>
    <x v="0"/>
    <x v="3"/>
    <x v="0"/>
    <x v="2"/>
    <x v="82"/>
    <n v="21769.38"/>
    <n v="5"/>
    <n v="85"/>
    <x v="0"/>
    <x v="1"/>
  </r>
  <r>
    <s v="P1471"/>
    <x v="5"/>
    <x v="2"/>
    <x v="0"/>
    <x v="1"/>
    <x v="31"/>
    <n v="137006.32"/>
    <n v="15"/>
    <n v="81"/>
    <x v="1"/>
    <x v="1"/>
  </r>
  <r>
    <s v="P1472"/>
    <x v="5"/>
    <x v="0"/>
    <x v="0"/>
    <x v="1"/>
    <x v="44"/>
    <n v="122489.12"/>
    <n v="4"/>
    <n v="42"/>
    <x v="1"/>
    <x v="0"/>
  </r>
  <r>
    <s v="P1473"/>
    <x v="0"/>
    <x v="3"/>
    <x v="4"/>
    <x v="1"/>
    <x v="4"/>
    <n v="191352.7"/>
    <n v="8"/>
    <n v="73"/>
    <x v="1"/>
    <x v="1"/>
  </r>
  <r>
    <s v="P1474"/>
    <x v="4"/>
    <x v="1"/>
    <x v="3"/>
    <x v="1"/>
    <x v="64"/>
    <n v="146935.99"/>
    <n v="30"/>
    <n v="41"/>
    <x v="1"/>
    <x v="1"/>
  </r>
  <r>
    <s v="P1475"/>
    <x v="3"/>
    <x v="0"/>
    <x v="1"/>
    <x v="0"/>
    <x v="77"/>
    <n v="158997.92000000001"/>
    <n v="12"/>
    <n v="85"/>
    <x v="1"/>
    <x v="1"/>
  </r>
  <r>
    <s v="P1476"/>
    <x v="5"/>
    <x v="2"/>
    <x v="3"/>
    <x v="1"/>
    <x v="21"/>
    <n v="71868.820000000007"/>
    <n v="30"/>
    <n v="49"/>
    <x v="0"/>
    <x v="2"/>
  </r>
  <r>
    <s v="P1477"/>
    <x v="3"/>
    <x v="3"/>
    <x v="2"/>
    <x v="2"/>
    <x v="20"/>
    <n v="155880.26"/>
    <n v="4"/>
    <n v="74"/>
    <x v="1"/>
    <x v="0"/>
  </r>
  <r>
    <s v="P1478"/>
    <x v="1"/>
    <x v="1"/>
    <x v="3"/>
    <x v="0"/>
    <x v="46"/>
    <n v="114222.8"/>
    <n v="21"/>
    <n v="98"/>
    <x v="1"/>
    <x v="0"/>
  </r>
  <r>
    <s v="P1479"/>
    <x v="3"/>
    <x v="0"/>
    <x v="0"/>
    <x v="1"/>
    <x v="20"/>
    <n v="27089.66"/>
    <n v="1"/>
    <n v="71"/>
    <x v="0"/>
    <x v="0"/>
  </r>
  <r>
    <s v="P1480"/>
    <x v="2"/>
    <x v="1"/>
    <x v="3"/>
    <x v="1"/>
    <x v="47"/>
    <n v="103986.43"/>
    <n v="20"/>
    <n v="74"/>
    <x v="1"/>
    <x v="2"/>
  </r>
  <r>
    <s v="P1481"/>
    <x v="5"/>
    <x v="2"/>
    <x v="2"/>
    <x v="1"/>
    <x v="51"/>
    <n v="138622.93"/>
    <n v="7"/>
    <n v="76"/>
    <x v="1"/>
    <x v="2"/>
  </r>
  <r>
    <s v="P1482"/>
    <x v="4"/>
    <x v="2"/>
    <x v="1"/>
    <x v="1"/>
    <x v="3"/>
    <n v="78821.62"/>
    <n v="2"/>
    <n v="90"/>
    <x v="1"/>
    <x v="1"/>
  </r>
  <r>
    <s v="P1483"/>
    <x v="2"/>
    <x v="0"/>
    <x v="4"/>
    <x v="0"/>
    <x v="44"/>
    <n v="55543.03"/>
    <n v="8"/>
    <n v="94"/>
    <x v="0"/>
    <x v="0"/>
  </r>
  <r>
    <s v="P1484"/>
    <x v="2"/>
    <x v="3"/>
    <x v="1"/>
    <x v="2"/>
    <x v="58"/>
    <n v="165428.59"/>
    <n v="6"/>
    <n v="50"/>
    <x v="1"/>
    <x v="1"/>
  </r>
  <r>
    <s v="P1485"/>
    <x v="1"/>
    <x v="2"/>
    <x v="4"/>
    <x v="0"/>
    <x v="72"/>
    <n v="32030.89"/>
    <n v="27"/>
    <n v="49"/>
    <x v="0"/>
    <x v="1"/>
  </r>
  <r>
    <s v="P1486"/>
    <x v="3"/>
    <x v="0"/>
    <x v="1"/>
    <x v="0"/>
    <x v="51"/>
    <n v="26431.05"/>
    <n v="18"/>
    <n v="47"/>
    <x v="0"/>
    <x v="2"/>
  </r>
  <r>
    <s v="P1487"/>
    <x v="5"/>
    <x v="2"/>
    <x v="2"/>
    <x v="0"/>
    <x v="60"/>
    <n v="28114.91"/>
    <n v="24"/>
    <n v="53"/>
    <x v="0"/>
    <x v="2"/>
  </r>
  <r>
    <s v="P1488"/>
    <x v="3"/>
    <x v="3"/>
    <x v="1"/>
    <x v="1"/>
    <x v="53"/>
    <n v="40481.74"/>
    <n v="5"/>
    <n v="71"/>
    <x v="0"/>
    <x v="1"/>
  </r>
  <r>
    <s v="P1489"/>
    <x v="2"/>
    <x v="2"/>
    <x v="4"/>
    <x v="1"/>
    <x v="75"/>
    <n v="141849.78"/>
    <n v="30"/>
    <n v="88"/>
    <x v="1"/>
    <x v="2"/>
  </r>
  <r>
    <s v="P1490"/>
    <x v="0"/>
    <x v="3"/>
    <x v="2"/>
    <x v="2"/>
    <x v="52"/>
    <n v="12318.75"/>
    <n v="2"/>
    <n v="55"/>
    <x v="0"/>
    <x v="1"/>
  </r>
  <r>
    <s v="P1491"/>
    <x v="1"/>
    <x v="2"/>
    <x v="3"/>
    <x v="2"/>
    <x v="13"/>
    <n v="153792.67000000001"/>
    <n v="26"/>
    <n v="64"/>
    <x v="1"/>
    <x v="1"/>
  </r>
  <r>
    <s v="P1492"/>
    <x v="3"/>
    <x v="1"/>
    <x v="0"/>
    <x v="2"/>
    <x v="38"/>
    <n v="36518.54"/>
    <n v="27"/>
    <n v="89"/>
    <x v="0"/>
    <x v="1"/>
  </r>
  <r>
    <s v="P1493"/>
    <x v="4"/>
    <x v="0"/>
    <x v="2"/>
    <x v="2"/>
    <x v="79"/>
    <n v="109737.62"/>
    <n v="3"/>
    <n v="42"/>
    <x v="1"/>
    <x v="2"/>
  </r>
  <r>
    <s v="P1494"/>
    <x v="3"/>
    <x v="3"/>
    <x v="3"/>
    <x v="0"/>
    <x v="62"/>
    <n v="187347.35"/>
    <n v="3"/>
    <n v="70"/>
    <x v="1"/>
    <x v="2"/>
  </r>
  <r>
    <s v="P1495"/>
    <x v="1"/>
    <x v="3"/>
    <x v="4"/>
    <x v="0"/>
    <x v="26"/>
    <n v="65500.91"/>
    <n v="9"/>
    <n v="68"/>
    <x v="0"/>
    <x v="0"/>
  </r>
  <r>
    <s v="P1496"/>
    <x v="4"/>
    <x v="3"/>
    <x v="0"/>
    <x v="2"/>
    <x v="51"/>
    <n v="66224.67"/>
    <n v="15"/>
    <n v="92"/>
    <x v="0"/>
    <x v="2"/>
  </r>
  <r>
    <s v="P1497"/>
    <x v="4"/>
    <x v="3"/>
    <x v="2"/>
    <x v="0"/>
    <x v="50"/>
    <n v="49051.49"/>
    <n v="22"/>
    <n v="76"/>
    <x v="0"/>
    <x v="0"/>
  </r>
  <r>
    <s v="P1498"/>
    <x v="5"/>
    <x v="2"/>
    <x v="0"/>
    <x v="2"/>
    <x v="58"/>
    <n v="123748.7"/>
    <n v="11"/>
    <n v="85"/>
    <x v="1"/>
    <x v="1"/>
  </r>
  <r>
    <s v="P1499"/>
    <x v="4"/>
    <x v="0"/>
    <x v="2"/>
    <x v="1"/>
    <x v="45"/>
    <n v="167252.95000000001"/>
    <n v="11"/>
    <n v="52"/>
    <x v="1"/>
    <x v="1"/>
  </r>
  <r>
    <s v="P1500"/>
    <x v="5"/>
    <x v="1"/>
    <x v="2"/>
    <x v="0"/>
    <x v="82"/>
    <n v="32194.93"/>
    <n v="20"/>
    <n v="68"/>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8E1ED5-93CD-43B4-82D0-F51FD711FFB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7:D14" firstHeaderRow="0" firstDataRow="1" firstDataCol="1"/>
  <pivotFields count="11">
    <pivotField showAll="0"/>
    <pivotField axis="axisRow" showAll="0">
      <items count="7">
        <item x="1"/>
        <item x="3"/>
        <item x="0"/>
        <item x="5"/>
        <item x="2"/>
        <item x="4"/>
        <item t="default"/>
      </items>
    </pivotField>
    <pivotField showAll="0">
      <items count="5">
        <item x="2"/>
        <item x="1"/>
        <item x="0"/>
        <item x="3"/>
        <item t="default"/>
      </items>
    </pivotField>
    <pivotField showAll="0">
      <items count="6">
        <item x="1"/>
        <item x="0"/>
        <item x="4"/>
        <item x="2"/>
        <item x="3"/>
        <item t="default"/>
      </items>
    </pivotField>
    <pivotField showAll="0">
      <items count="4">
        <item x="1"/>
        <item x="0"/>
        <item x="2"/>
        <item t="default"/>
      </items>
    </pivotField>
    <pivotField showAll="0">
      <items count="91">
        <item x="76"/>
        <item x="44"/>
        <item x="87"/>
        <item x="16"/>
        <item x="5"/>
        <item x="30"/>
        <item x="69"/>
        <item x="50"/>
        <item x="46"/>
        <item x="37"/>
        <item x="35"/>
        <item x="43"/>
        <item x="49"/>
        <item x="26"/>
        <item x="20"/>
        <item x="0"/>
        <item x="71"/>
        <item x="23"/>
        <item x="80"/>
        <item x="82"/>
        <item x="52"/>
        <item x="45"/>
        <item x="32"/>
        <item x="31"/>
        <item x="53"/>
        <item x="9"/>
        <item x="24"/>
        <item x="84"/>
        <item x="29"/>
        <item x="81"/>
        <item x="86"/>
        <item x="41"/>
        <item x="89"/>
        <item x="2"/>
        <item x="13"/>
        <item x="11"/>
        <item x="7"/>
        <item x="1"/>
        <item x="73"/>
        <item x="83"/>
        <item x="42"/>
        <item x="12"/>
        <item x="3"/>
        <item x="15"/>
        <item x="61"/>
        <item x="74"/>
        <item x="56"/>
        <item x="25"/>
        <item x="58"/>
        <item x="4"/>
        <item x="72"/>
        <item x="63"/>
        <item x="14"/>
        <item x="77"/>
        <item x="10"/>
        <item x="66"/>
        <item x="64"/>
        <item x="28"/>
        <item x="38"/>
        <item x="70"/>
        <item x="33"/>
        <item x="39"/>
        <item x="75"/>
        <item x="67"/>
        <item x="65"/>
        <item x="55"/>
        <item x="18"/>
        <item x="19"/>
        <item x="85"/>
        <item x="36"/>
        <item x="8"/>
        <item x="27"/>
        <item x="78"/>
        <item x="60"/>
        <item x="48"/>
        <item x="22"/>
        <item x="59"/>
        <item x="88"/>
        <item x="57"/>
        <item x="68"/>
        <item x="62"/>
        <item x="6"/>
        <item x="17"/>
        <item x="51"/>
        <item x="34"/>
        <item x="79"/>
        <item x="40"/>
        <item x="21"/>
        <item x="54"/>
        <item x="47"/>
        <item t="default"/>
      </items>
    </pivotField>
    <pivotField showAll="0"/>
    <pivotField showAll="0"/>
    <pivotField dataField="1" showAll="0"/>
    <pivotField showAll="0"/>
    <pivotField showAll="0"/>
  </pivotFields>
  <rowFields count="1">
    <field x="1"/>
  </rowFields>
  <rowItems count="7">
    <i>
      <x/>
    </i>
    <i>
      <x v="1"/>
    </i>
    <i>
      <x v="2"/>
    </i>
    <i>
      <x v="3"/>
    </i>
    <i>
      <x v="4"/>
    </i>
    <i>
      <x v="5"/>
    </i>
    <i t="grand">
      <x/>
    </i>
  </rowItems>
  <colFields count="1">
    <field x="-2"/>
  </colFields>
  <colItems count="3">
    <i>
      <x/>
    </i>
    <i i="1">
      <x v="1"/>
    </i>
    <i i="2">
      <x v="2"/>
    </i>
  </colItems>
  <dataFields count="3">
    <dataField name="Avg Recovery Score" fld="8" subtotal="average" baseField="1" baseItem="0" numFmtId="2"/>
    <dataField name="Max Recovery Score" fld="8" subtotal="max" baseField="1" baseItem="0" numFmtId="2"/>
    <dataField name="Min Recovery Score" fld="8" subtotal="min" baseField="1" baseItem="0" numFmtId="2"/>
  </dataFields>
  <formats count="14">
    <format dxfId="13">
      <pivotArea outline="0" fieldPosition="0">
        <references count="1">
          <reference field="4294967294" count="1">
            <x v="0"/>
          </reference>
        </references>
      </pivotArea>
    </format>
    <format dxfId="12">
      <pivotArea type="all" dataOnly="0" outline="0" fieldPosition="0"/>
    </format>
    <format dxfId="11">
      <pivotArea outline="0" collapsedLevelsAreSubtotals="1" fieldPosition="0"/>
    </format>
    <format dxfId="10">
      <pivotArea dataOnly="0" labelOnly="1" outline="0" fieldPosition="0">
        <references count="1">
          <reference field="4294967294" count="1">
            <x v="0"/>
          </reference>
        </references>
      </pivotArea>
    </format>
    <format dxfId="9">
      <pivotArea dataOnly="0" labelOnly="1" outline="0" fieldPosition="0">
        <references count="1">
          <reference field="4294967294" count="1">
            <x v="0"/>
          </reference>
        </references>
      </pivotArea>
    </format>
    <format dxfId="8">
      <pivotArea dataOnly="0" outline="0" fieldPosition="0">
        <references count="1">
          <reference field="4294967294" count="1">
            <x v="0"/>
          </reference>
        </references>
      </pivotArea>
    </format>
    <format dxfId="7">
      <pivotArea dataOnly="0" outline="0" axis="axisValues" fieldPosition="0"/>
    </format>
    <format dxfId="6">
      <pivotArea field="1" type="button" dataOnly="0" labelOnly="1" outline="0" axis="axisRow" fieldPosition="0"/>
    </format>
    <format dxfId="5">
      <pivotArea grandRow="1" outline="0" collapsedLevelsAreSubtotals="1" fieldPosition="0"/>
    </format>
    <format dxfId="4">
      <pivotArea dataOnly="0" labelOnly="1" grandRow="1" outline="0" fieldPosition="0"/>
    </format>
    <format dxfId="3">
      <pivotArea outline="0" fieldPosition="0">
        <references count="1">
          <reference field="4294967294" count="1">
            <x v="1"/>
          </reference>
        </references>
      </pivotArea>
    </format>
    <format dxfId="2">
      <pivotArea outline="0" fieldPosition="0">
        <references count="1">
          <reference field="4294967294" count="1">
            <x v="2"/>
          </reference>
        </references>
      </pivotArea>
    </format>
    <format dxfId="1">
      <pivotArea dataOnly="0" outline="0" fieldPosition="0">
        <references count="1">
          <reference field="4294967294" count="2">
            <x v="1"/>
            <x v="2"/>
          </reference>
        </references>
      </pivotArea>
    </format>
    <format dxfId="0">
      <pivotArea collapsedLevelsAreSubtotals="1" fieldPosition="0">
        <references count="1">
          <reference field="1" count="0"/>
        </references>
      </pivotArea>
    </format>
  </formats>
  <chartFormats count="3">
    <chartFormat chart="6" format="7"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1"/>
          </reference>
        </references>
      </pivotArea>
    </chartFormat>
    <chartFormat chart="6" format="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AC211E-A1E5-47BC-9416-DC93E24037B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4:B38" firstHeaderRow="1" firstDataRow="1" firstDataCol="1"/>
  <pivotFields count="11">
    <pivotField showAll="0"/>
    <pivotField showAll="0">
      <items count="7">
        <item x="1"/>
        <item x="3"/>
        <item x="0"/>
        <item x="5"/>
        <item x="2"/>
        <item x="4"/>
        <item t="default"/>
      </items>
    </pivotField>
    <pivotField showAll="0">
      <items count="5">
        <item x="2"/>
        <item x="1"/>
        <item x="0"/>
        <item x="3"/>
        <item t="default"/>
      </items>
    </pivotField>
    <pivotField showAll="0">
      <items count="6">
        <item x="1"/>
        <item x="0"/>
        <item x="4"/>
        <item x="2"/>
        <item x="3"/>
        <item t="default"/>
      </items>
    </pivotField>
    <pivotField axis="axisRow" showAll="0">
      <items count="4">
        <item x="1"/>
        <item x="0"/>
        <item x="2"/>
        <item t="default"/>
      </items>
    </pivotField>
    <pivotField showAll="0">
      <items count="91">
        <item x="76"/>
        <item x="44"/>
        <item x="87"/>
        <item x="16"/>
        <item x="5"/>
        <item x="30"/>
        <item x="69"/>
        <item x="50"/>
        <item x="46"/>
        <item x="37"/>
        <item x="35"/>
        <item x="43"/>
        <item x="49"/>
        <item x="26"/>
        <item x="20"/>
        <item x="0"/>
        <item x="71"/>
        <item x="23"/>
        <item x="80"/>
        <item x="82"/>
        <item x="52"/>
        <item x="45"/>
        <item x="32"/>
        <item x="31"/>
        <item x="53"/>
        <item x="9"/>
        <item x="24"/>
        <item x="84"/>
        <item x="29"/>
        <item x="81"/>
        <item x="86"/>
        <item x="41"/>
        <item x="89"/>
        <item x="2"/>
        <item x="13"/>
        <item x="11"/>
        <item x="7"/>
        <item x="1"/>
        <item x="73"/>
        <item x="83"/>
        <item x="42"/>
        <item x="12"/>
        <item x="3"/>
        <item x="15"/>
        <item x="61"/>
        <item x="74"/>
        <item x="56"/>
        <item x="25"/>
        <item x="58"/>
        <item x="4"/>
        <item x="72"/>
        <item x="63"/>
        <item x="14"/>
        <item x="77"/>
        <item x="10"/>
        <item x="66"/>
        <item x="64"/>
        <item x="28"/>
        <item x="38"/>
        <item x="70"/>
        <item x="33"/>
        <item x="39"/>
        <item x="75"/>
        <item x="67"/>
        <item x="65"/>
        <item x="55"/>
        <item x="18"/>
        <item x="19"/>
        <item x="85"/>
        <item x="36"/>
        <item x="8"/>
        <item x="27"/>
        <item x="78"/>
        <item x="60"/>
        <item x="48"/>
        <item x="22"/>
        <item x="59"/>
        <item x="88"/>
        <item x="57"/>
        <item x="68"/>
        <item x="62"/>
        <item x="6"/>
        <item x="17"/>
        <item x="51"/>
        <item x="34"/>
        <item x="79"/>
        <item x="40"/>
        <item x="21"/>
        <item x="54"/>
        <item x="47"/>
        <item t="default"/>
      </items>
    </pivotField>
    <pivotField showAll="0"/>
    <pivotField showAll="0"/>
    <pivotField dataField="1" showAll="0"/>
    <pivotField showAll="0"/>
    <pivotField showAll="0"/>
  </pivotFields>
  <rowFields count="1">
    <field x="4"/>
  </rowFields>
  <rowItems count="4">
    <i>
      <x/>
    </i>
    <i>
      <x v="1"/>
    </i>
    <i>
      <x v="2"/>
    </i>
    <i t="grand">
      <x/>
    </i>
  </rowItems>
  <colItems count="1">
    <i/>
  </colItems>
  <dataFields count="1">
    <dataField name="Avg  Recovery Score" fld="8" subtotal="average" baseField="1" baseItem="0" numFmtId="2"/>
  </dataFields>
  <formats count="11">
    <format dxfId="24">
      <pivotArea type="all" dataOnly="0" outline="0" fieldPosition="0"/>
    </format>
    <format dxfId="23">
      <pivotArea outline="0" collapsedLevelsAreSubtotals="1" fieldPosition="0"/>
    </format>
    <format dxfId="22">
      <pivotArea dataOnly="0" outline="0" axis="axisValues" fieldPosition="0"/>
    </format>
    <format dxfId="21">
      <pivotArea field="1" type="button" dataOnly="0" labelOnly="1" outline="0"/>
    </format>
    <format dxfId="20">
      <pivotArea grandRow="1" outline="0" collapsedLevelsAreSubtotals="1" fieldPosition="0"/>
    </format>
    <format dxfId="19">
      <pivotArea dataOnly="0" labelOnly="1" grandRow="1" outline="0" fieldPosition="0"/>
    </format>
    <format dxfId="18">
      <pivotArea outline="0" fieldPosition="0">
        <references count="1">
          <reference field="4294967294" count="1">
            <x v="0"/>
          </reference>
        </references>
      </pivotArea>
    </format>
    <format dxfId="17">
      <pivotArea dataOnly="0" labelOnly="1" outline="0" fieldPosition="0">
        <references count="1">
          <reference field="4294967294" count="1">
            <x v="0"/>
          </reference>
        </references>
      </pivotArea>
    </format>
    <format dxfId="16">
      <pivotArea field="3" type="button" dataOnly="0" labelOnly="1" outline="0"/>
    </format>
    <format dxfId="15">
      <pivotArea field="4" type="button" dataOnly="0" labelOnly="1" outline="0" axis="axisRow" fieldPosition="0"/>
    </format>
    <format dxfId="14">
      <pivotArea collapsedLevelsAreSubtotals="1" fieldPosition="0">
        <references count="1">
          <reference field="4" count="0"/>
        </references>
      </pivotArea>
    </format>
  </formats>
  <chartFormats count="6">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4" count="1" selected="0">
            <x v="0"/>
          </reference>
        </references>
      </pivotArea>
    </chartFormat>
    <chartFormat chart="17" format="7">
      <pivotArea type="data" outline="0" fieldPosition="0">
        <references count="2">
          <reference field="4294967294" count="1" selected="0">
            <x v="0"/>
          </reference>
          <reference field="4" count="1" selected="0">
            <x v="1"/>
          </reference>
        </references>
      </pivotArea>
    </chartFormat>
    <chartFormat chart="17"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98A96C-EEE4-4DF5-8F2D-2392AC860C5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E34:F38" firstHeaderRow="1" firstDataRow="1" firstDataCol="1"/>
  <pivotFields count="11">
    <pivotField showAll="0"/>
    <pivotField showAll="0">
      <items count="7">
        <item x="1"/>
        <item x="3"/>
        <item x="0"/>
        <item x="5"/>
        <item x="2"/>
        <item x="4"/>
        <item t="default"/>
      </items>
    </pivotField>
    <pivotField showAll="0">
      <items count="5">
        <item x="2"/>
        <item x="1"/>
        <item x="0"/>
        <item x="3"/>
        <item t="default"/>
      </items>
    </pivotField>
    <pivotField showAll="0">
      <items count="6">
        <item x="1"/>
        <item x="0"/>
        <item x="4"/>
        <item x="2"/>
        <item x="3"/>
        <item t="default"/>
      </items>
    </pivotField>
    <pivotField showAll="0">
      <items count="4">
        <item x="1"/>
        <item x="0"/>
        <item x="2"/>
        <item t="default"/>
      </items>
    </pivotField>
    <pivotField showAll="0">
      <items count="91">
        <item x="76"/>
        <item x="44"/>
        <item x="87"/>
        <item x="16"/>
        <item x="5"/>
        <item x="30"/>
        <item x="69"/>
        <item x="50"/>
        <item x="46"/>
        <item x="37"/>
        <item x="35"/>
        <item x="43"/>
        <item x="49"/>
        <item x="26"/>
        <item x="20"/>
        <item x="0"/>
        <item x="71"/>
        <item x="23"/>
        <item x="80"/>
        <item x="82"/>
        <item x="52"/>
        <item x="45"/>
        <item x="32"/>
        <item x="31"/>
        <item x="53"/>
        <item x="9"/>
        <item x="24"/>
        <item x="84"/>
        <item x="29"/>
        <item x="81"/>
        <item x="86"/>
        <item x="41"/>
        <item x="89"/>
        <item x="2"/>
        <item x="13"/>
        <item x="11"/>
        <item x="7"/>
        <item x="1"/>
        <item x="73"/>
        <item x="83"/>
        <item x="42"/>
        <item x="12"/>
        <item x="3"/>
        <item x="15"/>
        <item x="61"/>
        <item x="74"/>
        <item x="56"/>
        <item x="25"/>
        <item x="58"/>
        <item x="4"/>
        <item x="72"/>
        <item x="63"/>
        <item x="14"/>
        <item x="77"/>
        <item x="10"/>
        <item x="66"/>
        <item x="64"/>
        <item x="28"/>
        <item x="38"/>
        <item x="70"/>
        <item x="33"/>
        <item x="39"/>
        <item x="75"/>
        <item x="67"/>
        <item x="65"/>
        <item x="55"/>
        <item x="18"/>
        <item x="19"/>
        <item x="85"/>
        <item x="36"/>
        <item x="8"/>
        <item x="27"/>
        <item x="78"/>
        <item x="60"/>
        <item x="48"/>
        <item x="22"/>
        <item x="59"/>
        <item x="88"/>
        <item x="57"/>
        <item x="68"/>
        <item x="62"/>
        <item x="6"/>
        <item x="17"/>
        <item x="51"/>
        <item x="34"/>
        <item x="79"/>
        <item x="40"/>
        <item x="21"/>
        <item x="54"/>
        <item x="47"/>
        <item t="default"/>
      </items>
    </pivotField>
    <pivotField showAll="0"/>
    <pivotField showAll="0"/>
    <pivotField dataField="1" showAll="0"/>
    <pivotField showAll="0"/>
    <pivotField axis="axisRow" showAll="0">
      <items count="4">
        <item x="1"/>
        <item x="0"/>
        <item x="2"/>
        <item t="default"/>
      </items>
    </pivotField>
  </pivotFields>
  <rowFields count="1">
    <field x="10"/>
  </rowFields>
  <rowItems count="4">
    <i>
      <x/>
    </i>
    <i>
      <x v="1"/>
    </i>
    <i>
      <x v="2"/>
    </i>
    <i t="grand">
      <x/>
    </i>
  </rowItems>
  <colItems count="1">
    <i/>
  </colItems>
  <dataFields count="1">
    <dataField name="Avg  Recovery Score" fld="8" subtotal="average" baseField="1" baseItem="0" numFmtId="2"/>
  </dataFields>
  <formats count="11">
    <format dxfId="35">
      <pivotArea type="all" dataOnly="0" outline="0" fieldPosition="0"/>
    </format>
    <format dxfId="34">
      <pivotArea outline="0" collapsedLevelsAreSubtotals="1" fieldPosition="0"/>
    </format>
    <format dxfId="33">
      <pivotArea dataOnly="0" outline="0" axis="axisValues" fieldPosition="0"/>
    </format>
    <format dxfId="32">
      <pivotArea field="1" type="button" dataOnly="0" labelOnly="1" outline="0"/>
    </format>
    <format dxfId="31">
      <pivotArea grandRow="1" outline="0" collapsedLevelsAreSubtotals="1" fieldPosition="0"/>
    </format>
    <format dxfId="30">
      <pivotArea dataOnly="0" labelOnly="1" grandRow="1" outline="0" fieldPosition="0"/>
    </format>
    <format dxfId="29">
      <pivotArea outline="0" fieldPosition="0">
        <references count="1">
          <reference field="4294967294" count="1">
            <x v="0"/>
          </reference>
        </references>
      </pivotArea>
    </format>
    <format dxfId="28">
      <pivotArea dataOnly="0" labelOnly="1" outline="0" fieldPosition="0">
        <references count="1">
          <reference field="4294967294" count="1">
            <x v="0"/>
          </reference>
        </references>
      </pivotArea>
    </format>
    <format dxfId="27">
      <pivotArea field="3" type="button" dataOnly="0" labelOnly="1" outline="0"/>
    </format>
    <format dxfId="26">
      <pivotArea field="4" type="button" dataOnly="0" labelOnly="1" outline="0"/>
    </format>
    <format dxfId="25">
      <pivotArea field="10" type="button" dataOnly="0" labelOnly="1" outline="0" axis="axisRow" fieldPosition="0"/>
    </format>
  </formats>
  <chartFormats count="4">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C674AB-C4F7-4EB2-956B-81FB01C6B42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6:B22" firstHeaderRow="1" firstDataRow="1" firstDataCol="1"/>
  <pivotFields count="11">
    <pivotField showAll="0"/>
    <pivotField showAll="0">
      <items count="7">
        <item x="1"/>
        <item x="3"/>
        <item x="0"/>
        <item x="5"/>
        <item x="2"/>
        <item x="4"/>
        <item t="default"/>
      </items>
    </pivotField>
    <pivotField showAll="0">
      <items count="5">
        <item x="2"/>
        <item x="1"/>
        <item x="0"/>
        <item x="3"/>
        <item t="default"/>
      </items>
    </pivotField>
    <pivotField axis="axisRow" showAll="0">
      <items count="6">
        <item x="1"/>
        <item x="0"/>
        <item x="4"/>
        <item x="2"/>
        <item x="3"/>
        <item t="default"/>
      </items>
    </pivotField>
    <pivotField showAll="0">
      <items count="4">
        <item x="1"/>
        <item x="0"/>
        <item x="2"/>
        <item t="default"/>
      </items>
    </pivotField>
    <pivotField showAll="0">
      <items count="91">
        <item x="76"/>
        <item x="44"/>
        <item x="87"/>
        <item x="16"/>
        <item x="5"/>
        <item x="30"/>
        <item x="69"/>
        <item x="50"/>
        <item x="46"/>
        <item x="37"/>
        <item x="35"/>
        <item x="43"/>
        <item x="49"/>
        <item x="26"/>
        <item x="20"/>
        <item x="0"/>
        <item x="71"/>
        <item x="23"/>
        <item x="80"/>
        <item x="82"/>
        <item x="52"/>
        <item x="45"/>
        <item x="32"/>
        <item x="31"/>
        <item x="53"/>
        <item x="9"/>
        <item x="24"/>
        <item x="84"/>
        <item x="29"/>
        <item x="81"/>
        <item x="86"/>
        <item x="41"/>
        <item x="89"/>
        <item x="2"/>
        <item x="13"/>
        <item x="11"/>
        <item x="7"/>
        <item x="1"/>
        <item x="73"/>
        <item x="83"/>
        <item x="42"/>
        <item x="12"/>
        <item x="3"/>
        <item x="15"/>
        <item x="61"/>
        <item x="74"/>
        <item x="56"/>
        <item x="25"/>
        <item x="58"/>
        <item x="4"/>
        <item x="72"/>
        <item x="63"/>
        <item x="14"/>
        <item x="77"/>
        <item x="10"/>
        <item x="66"/>
        <item x="64"/>
        <item x="28"/>
        <item x="38"/>
        <item x="70"/>
        <item x="33"/>
        <item x="39"/>
        <item x="75"/>
        <item x="67"/>
        <item x="65"/>
        <item x="55"/>
        <item x="18"/>
        <item x="19"/>
        <item x="85"/>
        <item x="36"/>
        <item x="8"/>
        <item x="27"/>
        <item x="78"/>
        <item x="60"/>
        <item x="48"/>
        <item x="22"/>
        <item x="59"/>
        <item x="88"/>
        <item x="57"/>
        <item x="68"/>
        <item x="62"/>
        <item x="6"/>
        <item x="17"/>
        <item x="51"/>
        <item x="34"/>
        <item x="79"/>
        <item x="40"/>
        <item x="21"/>
        <item x="54"/>
        <item x="47"/>
        <item t="default"/>
      </items>
    </pivotField>
    <pivotField showAll="0"/>
    <pivotField showAll="0"/>
    <pivotField dataField="1" showAll="0"/>
    <pivotField showAll="0"/>
    <pivotField showAll="0"/>
  </pivotFields>
  <rowFields count="1">
    <field x="3"/>
  </rowFields>
  <rowItems count="6">
    <i>
      <x/>
    </i>
    <i>
      <x v="1"/>
    </i>
    <i>
      <x v="2"/>
    </i>
    <i>
      <x v="3"/>
    </i>
    <i>
      <x v="4"/>
    </i>
    <i t="grand">
      <x/>
    </i>
  </rowItems>
  <colItems count="1">
    <i/>
  </colItems>
  <dataFields count="1">
    <dataField name="Avg  Recovery Score" fld="8" subtotal="average" baseField="1" baseItem="0" numFmtId="2"/>
  </dataFields>
  <formats count="10">
    <format dxfId="45">
      <pivotArea type="all" dataOnly="0" outline="0" fieldPosition="0"/>
    </format>
    <format dxfId="44">
      <pivotArea outline="0" collapsedLevelsAreSubtotals="1" fieldPosition="0"/>
    </format>
    <format dxfId="43">
      <pivotArea dataOnly="0" outline="0" axis="axisValues" fieldPosition="0"/>
    </format>
    <format dxfId="42">
      <pivotArea field="1" type="button" dataOnly="0" labelOnly="1" outline="0"/>
    </format>
    <format dxfId="41">
      <pivotArea grandRow="1" outline="0" collapsedLevelsAreSubtotals="1" fieldPosition="0"/>
    </format>
    <format dxfId="40">
      <pivotArea dataOnly="0" labelOnly="1" grandRow="1" outline="0" fieldPosition="0"/>
    </format>
    <format dxfId="39">
      <pivotArea outline="0" fieldPosition="0">
        <references count="1">
          <reference field="4294967294" count="1">
            <x v="0"/>
          </reference>
        </references>
      </pivotArea>
    </format>
    <format dxfId="38">
      <pivotArea dataOnly="0" labelOnly="1" outline="0" fieldPosition="0">
        <references count="1">
          <reference field="4294967294" count="1">
            <x v="0"/>
          </reference>
        </references>
      </pivotArea>
    </format>
    <format dxfId="37">
      <pivotArea field="3" type="button" dataOnly="0" labelOnly="1" outline="0" axis="axisRow" fieldPosition="0"/>
    </format>
    <format dxfId="36">
      <pivotArea collapsedLevelsAreSubtotals="1" fieldPosition="0">
        <references count="1">
          <reference field="3" count="0"/>
        </references>
      </pivotArea>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6E665B-E283-484B-8D3B-069D9899448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40:B43" firstHeaderRow="1" firstDataRow="1" firstDataCol="1"/>
  <pivotFields count="11">
    <pivotField showAll="0"/>
    <pivotField showAll="0">
      <items count="7">
        <item x="1"/>
        <item x="3"/>
        <item x="0"/>
        <item x="5"/>
        <item x="2"/>
        <item x="4"/>
        <item t="default"/>
      </items>
    </pivotField>
    <pivotField showAll="0">
      <items count="5">
        <item x="2"/>
        <item x="1"/>
        <item x="0"/>
        <item x="3"/>
        <item t="default"/>
      </items>
    </pivotField>
    <pivotField showAll="0">
      <items count="6">
        <item x="1"/>
        <item x="0"/>
        <item x="4"/>
        <item x="2"/>
        <item x="3"/>
        <item t="default"/>
      </items>
    </pivotField>
    <pivotField showAll="0">
      <items count="4">
        <item x="1"/>
        <item x="0"/>
        <item x="2"/>
        <item t="default"/>
      </items>
    </pivotField>
    <pivotField showAll="0">
      <items count="91">
        <item x="76"/>
        <item x="44"/>
        <item x="87"/>
        <item x="16"/>
        <item x="5"/>
        <item x="30"/>
        <item x="69"/>
        <item x="50"/>
        <item x="46"/>
        <item x="37"/>
        <item x="35"/>
        <item x="43"/>
        <item x="49"/>
        <item x="26"/>
        <item x="20"/>
        <item x="0"/>
        <item x="71"/>
        <item x="23"/>
        <item x="80"/>
        <item x="82"/>
        <item x="52"/>
        <item x="45"/>
        <item x="32"/>
        <item x="31"/>
        <item x="53"/>
        <item x="9"/>
        <item x="24"/>
        <item x="84"/>
        <item x="29"/>
        <item x="81"/>
        <item x="86"/>
        <item x="41"/>
        <item x="89"/>
        <item x="2"/>
        <item x="13"/>
        <item x="11"/>
        <item x="7"/>
        <item x="1"/>
        <item x="73"/>
        <item x="83"/>
        <item x="42"/>
        <item x="12"/>
        <item x="3"/>
        <item x="15"/>
        <item x="61"/>
        <item x="74"/>
        <item x="56"/>
        <item x="25"/>
        <item x="58"/>
        <item x="4"/>
        <item x="72"/>
        <item x="63"/>
        <item x="14"/>
        <item x="77"/>
        <item x="10"/>
        <item x="66"/>
        <item x="64"/>
        <item x="28"/>
        <item x="38"/>
        <item x="70"/>
        <item x="33"/>
        <item x="39"/>
        <item x="75"/>
        <item x="67"/>
        <item x="65"/>
        <item x="55"/>
        <item x="18"/>
        <item x="19"/>
        <item x="85"/>
        <item x="36"/>
        <item x="8"/>
        <item x="27"/>
        <item x="78"/>
        <item x="60"/>
        <item x="48"/>
        <item x="22"/>
        <item x="59"/>
        <item x="88"/>
        <item x="57"/>
        <item x="68"/>
        <item x="62"/>
        <item x="6"/>
        <item x="17"/>
        <item x="51"/>
        <item x="34"/>
        <item x="79"/>
        <item x="40"/>
        <item x="21"/>
        <item x="54"/>
        <item x="47"/>
        <item t="default"/>
      </items>
    </pivotField>
    <pivotField showAll="0"/>
    <pivotField showAll="0"/>
    <pivotField dataField="1" showAll="0"/>
    <pivotField axis="axisRow" showAll="0">
      <items count="3">
        <item x="1"/>
        <item x="0"/>
        <item t="default"/>
      </items>
    </pivotField>
    <pivotField showAll="0"/>
  </pivotFields>
  <rowFields count="1">
    <field x="9"/>
  </rowFields>
  <rowItems count="3">
    <i>
      <x/>
    </i>
    <i>
      <x v="1"/>
    </i>
    <i t="grand">
      <x/>
    </i>
  </rowItems>
  <colItems count="1">
    <i/>
  </colItems>
  <dataFields count="1">
    <dataField name="Avg Recovery Score" fld="8" subtotal="average" baseField="9" baseItem="0" numFmtId="2"/>
  </dataFields>
  <formats count="11">
    <format dxfId="56">
      <pivotArea type="all" dataOnly="0" outline="0" fieldPosition="0"/>
    </format>
    <format dxfId="55">
      <pivotArea outline="0" collapsedLevelsAreSubtotals="1" fieldPosition="0"/>
    </format>
    <format dxfId="54">
      <pivotArea dataOnly="0" outline="0" axis="axisValues" fieldPosition="0"/>
    </format>
    <format dxfId="53">
      <pivotArea field="1" type="button" dataOnly="0" labelOnly="1" outline="0"/>
    </format>
    <format dxfId="52">
      <pivotArea grandRow="1" outline="0" collapsedLevelsAreSubtotals="1" fieldPosition="0"/>
    </format>
    <format dxfId="51">
      <pivotArea dataOnly="0" labelOnly="1" grandRow="1" outline="0" fieldPosition="0"/>
    </format>
    <format dxfId="50">
      <pivotArea field="3" type="button" dataOnly="0" labelOnly="1" outline="0"/>
    </format>
    <format dxfId="49">
      <pivotArea field="4" type="button" dataOnly="0" labelOnly="1" outline="0"/>
    </format>
    <format dxfId="48">
      <pivotArea outline="0" fieldPosition="0">
        <references count="1">
          <reference field="4294967294" count="1">
            <x v="0"/>
          </reference>
        </references>
      </pivotArea>
    </format>
    <format dxfId="47">
      <pivotArea field="9" type="button" dataOnly="0" labelOnly="1" outline="0" axis="axisRow" fieldPosition="0"/>
    </format>
    <format dxfId="46">
      <pivotArea collapsedLevelsAreSubtotals="1" fieldPosition="0">
        <references count="1">
          <reference field="9" count="0"/>
        </references>
      </pivotArea>
    </format>
  </formats>
  <chartFormats count="3">
    <chartFormat chart="27" format="4" series="1">
      <pivotArea type="data" outline="0" fieldPosition="0">
        <references count="1">
          <reference field="4294967294" count="1" selected="0">
            <x v="0"/>
          </reference>
        </references>
      </pivotArea>
    </chartFormat>
    <chartFormat chart="27" format="5">
      <pivotArea type="data" outline="0" fieldPosition="0">
        <references count="2">
          <reference field="4294967294" count="1" selected="0">
            <x v="0"/>
          </reference>
          <reference field="9" count="1" selected="0">
            <x v="0"/>
          </reference>
        </references>
      </pivotArea>
    </chartFormat>
    <chartFormat chart="27" format="6">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F16288-1DE7-4133-9CF6-02D18DDD341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1">
    <pivotField dataField="1" showAll="0"/>
    <pivotField showAll="0"/>
    <pivotField showAll="0">
      <items count="5">
        <item x="2"/>
        <item x="1"/>
        <item x="0"/>
        <item x="3"/>
        <item t="default"/>
      </items>
    </pivotField>
    <pivotField showAll="0">
      <items count="6">
        <item x="1"/>
        <item x="0"/>
        <item x="4"/>
        <item x="2"/>
        <item x="3"/>
        <item t="default"/>
      </items>
    </pivotField>
    <pivotField showAll="0">
      <items count="4">
        <item x="1"/>
        <item x="0"/>
        <item x="2"/>
        <item t="default"/>
      </items>
    </pivotField>
    <pivotField dataField="1" showAll="0">
      <items count="91">
        <item x="76"/>
        <item x="44"/>
        <item x="87"/>
        <item x="16"/>
        <item x="5"/>
        <item x="30"/>
        <item x="69"/>
        <item x="50"/>
        <item x="46"/>
        <item x="37"/>
        <item x="35"/>
        <item x="43"/>
        <item x="49"/>
        <item x="26"/>
        <item x="20"/>
        <item x="0"/>
        <item x="71"/>
        <item x="23"/>
        <item x="80"/>
        <item x="82"/>
        <item x="52"/>
        <item x="45"/>
        <item x="32"/>
        <item x="31"/>
        <item x="53"/>
        <item x="9"/>
        <item x="24"/>
        <item x="84"/>
        <item x="29"/>
        <item x="81"/>
        <item x="86"/>
        <item x="41"/>
        <item x="89"/>
        <item x="2"/>
        <item x="13"/>
        <item x="11"/>
        <item x="7"/>
        <item x="1"/>
        <item x="73"/>
        <item x="83"/>
        <item x="42"/>
        <item x="12"/>
        <item x="3"/>
        <item x="15"/>
        <item x="61"/>
        <item x="74"/>
        <item x="56"/>
        <item x="25"/>
        <item x="58"/>
        <item x="4"/>
        <item x="72"/>
        <item x="63"/>
        <item x="14"/>
        <item x="77"/>
        <item x="10"/>
        <item x="66"/>
        <item x="64"/>
        <item x="28"/>
        <item x="38"/>
        <item x="70"/>
        <item x="33"/>
        <item x="39"/>
        <item x="75"/>
        <item x="67"/>
        <item x="65"/>
        <item x="55"/>
        <item x="18"/>
        <item x="19"/>
        <item x="85"/>
        <item x="36"/>
        <item x="8"/>
        <item x="27"/>
        <item x="78"/>
        <item x="60"/>
        <item x="48"/>
        <item x="22"/>
        <item x="59"/>
        <item x="88"/>
        <item x="57"/>
        <item x="68"/>
        <item x="62"/>
        <item x="6"/>
        <item x="17"/>
        <item x="51"/>
        <item x="34"/>
        <item x="79"/>
        <item x="40"/>
        <item x="21"/>
        <item x="54"/>
        <item x="47"/>
        <item t="default"/>
      </items>
    </pivotField>
    <pivotField dataField="1" showAll="0"/>
    <pivotField dataField="1" showAll="0"/>
    <pivotField dataField="1" showAll="0"/>
    <pivotField showAll="0"/>
    <pivotField showAll="0"/>
  </pivotFields>
  <rowItems count="1">
    <i/>
  </rowItems>
  <colFields count="1">
    <field x="-2"/>
  </colFields>
  <colItems count="5">
    <i>
      <x/>
    </i>
    <i i="1">
      <x v="1"/>
    </i>
    <i i="2">
      <x v="2"/>
    </i>
    <i i="3">
      <x v="3"/>
    </i>
    <i i="4">
      <x v="4"/>
    </i>
  </colItems>
  <dataFields count="5">
    <dataField name="Patient Count" fld="0" subtotal="count" baseField="0" baseItem="0"/>
    <dataField name="Average of Treatment Cost" fld="6" subtotal="average" baseField="0" baseItem="1" numFmtId="2"/>
    <dataField name="Average of Age" fld="5" subtotal="average" baseField="0" baseItem="1" numFmtId="2"/>
    <dataField name="Average of Hospital Stay (Days)" fld="7" subtotal="average" baseField="0" baseItem="2" numFmtId="2"/>
    <dataField name="Average of Recovery Score" fld="8" subtotal="average" baseField="0" baseItem="3" numFmtId="2"/>
  </dataFields>
  <formats count="10">
    <format dxfId="66">
      <pivotArea outline="0" collapsedLevelsAreSubtotals="1" fieldPosition="0">
        <references count="1">
          <reference field="4294967294" count="1" selected="0">
            <x v="2"/>
          </reference>
        </references>
      </pivotArea>
    </format>
    <format dxfId="65">
      <pivotArea outline="0" collapsedLevelsAreSubtotals="1" fieldPosition="0">
        <references count="1">
          <reference field="4294967294" count="1" selected="0">
            <x v="1"/>
          </reference>
        </references>
      </pivotArea>
    </format>
    <format dxfId="64">
      <pivotArea outline="0" fieldPosition="0">
        <references count="1">
          <reference field="4294967294" count="1">
            <x v="3"/>
          </reference>
        </references>
      </pivotArea>
    </format>
    <format dxfId="63">
      <pivotArea outline="0" fieldPosition="0">
        <references count="1">
          <reference field="4294967294" count="1">
            <x v="4"/>
          </reference>
        </references>
      </pivotArea>
    </format>
    <format dxfId="62">
      <pivotArea type="all" dataOnly="0" outline="0" fieldPosition="0"/>
    </format>
    <format dxfId="61">
      <pivotArea outline="0" collapsedLevelsAreSubtotals="1" fieldPosition="0"/>
    </format>
    <format dxfId="60">
      <pivotArea dataOnly="0" labelOnly="1" outline="0" fieldPosition="0">
        <references count="1">
          <reference field="4294967294" count="5">
            <x v="0"/>
            <x v="1"/>
            <x v="2"/>
            <x v="3"/>
            <x v="4"/>
          </reference>
        </references>
      </pivotArea>
    </format>
    <format dxfId="59">
      <pivotArea dataOnly="0" labelOnly="1" outline="0" fieldPosition="0">
        <references count="1">
          <reference field="4294967294" count="5">
            <x v="0"/>
            <x v="1"/>
            <x v="2"/>
            <x v="3"/>
            <x v="4"/>
          </reference>
        </references>
      </pivotArea>
    </format>
    <format dxfId="58">
      <pivotArea outline="0" collapsedLevelsAreSubtotals="1" fieldPosition="0"/>
    </format>
    <format dxfId="57">
      <pivotArea dataOnly="0"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8D0135-8C2F-4908-942B-E1CB1580C77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5:B32" firstHeaderRow="1" firstDataRow="1" firstDataCol="1"/>
  <pivotFields count="11">
    <pivotField showAll="0"/>
    <pivotField axis="axisRow" showAll="0">
      <items count="7">
        <item x="1"/>
        <item x="3"/>
        <item x="0"/>
        <item x="5"/>
        <item x="2"/>
        <item x="4"/>
        <item t="default"/>
      </items>
    </pivotField>
    <pivotField showAll="0">
      <items count="5">
        <item x="2"/>
        <item x="1"/>
        <item x="0"/>
        <item x="3"/>
        <item t="default"/>
      </items>
    </pivotField>
    <pivotField showAll="0">
      <items count="6">
        <item x="1"/>
        <item x="0"/>
        <item x="4"/>
        <item x="2"/>
        <item x="3"/>
        <item t="default"/>
      </items>
    </pivotField>
    <pivotField showAll="0">
      <items count="4">
        <item x="1"/>
        <item x="0"/>
        <item x="2"/>
        <item t="default"/>
      </items>
    </pivotField>
    <pivotField showAll="0">
      <items count="91">
        <item x="76"/>
        <item x="44"/>
        <item x="87"/>
        <item x="16"/>
        <item x="5"/>
        <item x="30"/>
        <item x="69"/>
        <item x="50"/>
        <item x="46"/>
        <item x="37"/>
        <item x="35"/>
        <item x="43"/>
        <item x="49"/>
        <item x="26"/>
        <item x="20"/>
        <item x="0"/>
        <item x="71"/>
        <item x="23"/>
        <item x="80"/>
        <item x="82"/>
        <item x="52"/>
        <item x="45"/>
        <item x="32"/>
        <item x="31"/>
        <item x="53"/>
        <item x="9"/>
        <item x="24"/>
        <item x="84"/>
        <item x="29"/>
        <item x="81"/>
        <item x="86"/>
        <item x="41"/>
        <item x="89"/>
        <item x="2"/>
        <item x="13"/>
        <item x="11"/>
        <item x="7"/>
        <item x="1"/>
        <item x="73"/>
        <item x="83"/>
        <item x="42"/>
        <item x="12"/>
        <item x="3"/>
        <item x="15"/>
        <item x="61"/>
        <item x="74"/>
        <item x="56"/>
        <item x="25"/>
        <item x="58"/>
        <item x="4"/>
        <item x="72"/>
        <item x="63"/>
        <item x="14"/>
        <item x="77"/>
        <item x="10"/>
        <item x="66"/>
        <item x="64"/>
        <item x="28"/>
        <item x="38"/>
        <item x="70"/>
        <item x="33"/>
        <item x="39"/>
        <item x="75"/>
        <item x="67"/>
        <item x="65"/>
        <item x="55"/>
        <item x="18"/>
        <item x="19"/>
        <item x="85"/>
        <item x="36"/>
        <item x="8"/>
        <item x="27"/>
        <item x="78"/>
        <item x="60"/>
        <item x="48"/>
        <item x="22"/>
        <item x="59"/>
        <item x="88"/>
        <item x="57"/>
        <item x="68"/>
        <item x="62"/>
        <item x="6"/>
        <item x="17"/>
        <item x="51"/>
        <item x="34"/>
        <item x="79"/>
        <item x="40"/>
        <item x="21"/>
        <item x="54"/>
        <item x="47"/>
        <item t="default"/>
      </items>
    </pivotField>
    <pivotField showAll="0"/>
    <pivotField showAll="0"/>
    <pivotField dataField="1" showAll="0"/>
    <pivotField showAll="0"/>
    <pivotField showAll="0"/>
  </pivotFields>
  <rowFields count="1">
    <field x="1"/>
  </rowFields>
  <rowItems count="7">
    <i>
      <x/>
    </i>
    <i>
      <x v="1"/>
    </i>
    <i>
      <x v="2"/>
    </i>
    <i>
      <x v="3"/>
    </i>
    <i>
      <x v="4"/>
    </i>
    <i>
      <x v="5"/>
    </i>
    <i t="grand">
      <x/>
    </i>
  </rowItems>
  <colItems count="1">
    <i/>
  </colItems>
  <dataFields count="1">
    <dataField name="Avg  Recovery Score" fld="8" subtotal="average" baseField="1" baseItem="0" numFmtId="2"/>
  </dataFields>
  <formats count="9">
    <format dxfId="75">
      <pivotArea type="all" dataOnly="0" outline="0" fieldPosition="0"/>
    </format>
    <format dxfId="74">
      <pivotArea outline="0" collapsedLevelsAreSubtotals="1" fieldPosition="0"/>
    </format>
    <format dxfId="73">
      <pivotArea dataOnly="0" outline="0" axis="axisValues" fieldPosition="0"/>
    </format>
    <format dxfId="72">
      <pivotArea field="1" type="button" dataOnly="0" labelOnly="1" outline="0" axis="axisRow" fieldPosition="0"/>
    </format>
    <format dxfId="71">
      <pivotArea grandRow="1" outline="0" collapsedLevelsAreSubtotals="1" fieldPosition="0"/>
    </format>
    <format dxfId="70">
      <pivotArea dataOnly="0" labelOnly="1" grandRow="1" outline="0" fieldPosition="0"/>
    </format>
    <format dxfId="69">
      <pivotArea collapsedLevelsAreSubtotals="1" fieldPosition="0">
        <references count="1">
          <reference field="1" count="0"/>
        </references>
      </pivotArea>
    </format>
    <format dxfId="68">
      <pivotArea outline="0" fieldPosition="0">
        <references count="1">
          <reference field="4294967294" count="1">
            <x v="0"/>
          </reference>
        </references>
      </pivotArea>
    </format>
    <format dxfId="67">
      <pivotArea dataOnly="0" labelOnly="1" outline="0" fieldPosition="0">
        <references count="1">
          <reference field="4294967294" count="1">
            <x v="0"/>
          </reference>
        </references>
      </pivotArea>
    </format>
  </formats>
  <chartFormats count="2">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Type" xr10:uid="{AEA03587-22D6-4C0C-8CD3-5F905A272F75}" sourceName="Treatment Type">
  <pivotTables>
    <pivotTable tabId="3" name="PivotTable1"/>
    <pivotTable tabId="3" name="PivotTable2"/>
    <pivotTable tabId="3" name="PivotTable4"/>
    <pivotTable tabId="3" name="PivotTable5"/>
    <pivotTable tabId="3" name="PivotTable8"/>
    <pivotTable tabId="3" name="PivotTable9"/>
    <pivotTable tabId="3" name="PivotTable10"/>
  </pivotTables>
  <data>
    <tabular pivotCacheId="27463956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_Name" xr10:uid="{C984E3AA-6085-4BC9-BB84-405597DC3D35}" sourceName="Doctor Name">
  <pivotTables>
    <pivotTable tabId="3" name="PivotTable1"/>
    <pivotTable tabId="3" name="PivotTable2"/>
    <pivotTable tabId="3" name="PivotTable4"/>
    <pivotTable tabId="3" name="PivotTable5"/>
    <pivotTable tabId="3" name="PivotTable8"/>
    <pivotTable tabId="3" name="PivotTable9"/>
    <pivotTable tabId="3" name="PivotTable10"/>
  </pivotTables>
  <data>
    <tabular pivotCacheId="274639561">
      <items count="5">
        <i x="1" s="1"/>
        <i x="0" s="1"/>
        <i x="4"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3D81359-70F4-4C12-BC89-FBF26F834DB4}" sourceName="Gender">
  <pivotTables>
    <pivotTable tabId="3" name="PivotTable1"/>
    <pivotTable tabId="3" name="PivotTable2"/>
    <pivotTable tabId="3" name="PivotTable4"/>
    <pivotTable tabId="3" name="PivotTable5"/>
    <pivotTable tabId="3" name="PivotTable8"/>
    <pivotTable tabId="3" name="PivotTable9"/>
    <pivotTable tabId="3" name="PivotTable10"/>
  </pivotTables>
  <data>
    <tabular pivotCacheId="274639561">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3CC0112F-3611-4976-B211-D3D27A953CDA}" sourceName="Age">
  <pivotTables>
    <pivotTable tabId="3" name="PivotTable1"/>
    <pivotTable tabId="3" name="PivotTable2"/>
    <pivotTable tabId="3" name="PivotTable4"/>
    <pivotTable tabId="3" name="PivotTable5"/>
    <pivotTable tabId="3" name="PivotTable8"/>
    <pivotTable tabId="3" name="PivotTable9"/>
    <pivotTable tabId="3" name="PivotTable10"/>
  </pivotTables>
  <data>
    <tabular pivotCacheId="274639561">
      <items count="90">
        <i x="76" s="1"/>
        <i x="44" s="1"/>
        <i x="87" s="1"/>
        <i x="16" s="1"/>
        <i x="5" s="1"/>
        <i x="30" s="1"/>
        <i x="69" s="1"/>
        <i x="50" s="1"/>
        <i x="46" s="1"/>
        <i x="37" s="1"/>
        <i x="35" s="1"/>
        <i x="43" s="1"/>
        <i x="49" s="1"/>
        <i x="26" s="1"/>
        <i x="20" s="1"/>
        <i x="0" s="1"/>
        <i x="71" s="1"/>
        <i x="23" s="1"/>
        <i x="80" s="1"/>
        <i x="82" s="1"/>
        <i x="52" s="1"/>
        <i x="45" s="1"/>
        <i x="32" s="1"/>
        <i x="31" s="1"/>
        <i x="53" s="1"/>
        <i x="9" s="1"/>
        <i x="24" s="1"/>
        <i x="84" s="1"/>
        <i x="29" s="1"/>
        <i x="81" s="1"/>
        <i x="86" s="1"/>
        <i x="41" s="1"/>
        <i x="89" s="1"/>
        <i x="2" s="1"/>
        <i x="13" s="1"/>
        <i x="11" s="1"/>
        <i x="7" s="1"/>
        <i x="1" s="1"/>
        <i x="73" s="1"/>
        <i x="83" s="1"/>
        <i x="42" s="1"/>
        <i x="12" s="1"/>
        <i x="3" s="1"/>
        <i x="15" s="1"/>
        <i x="61" s="1"/>
        <i x="74" s="1"/>
        <i x="56" s="1"/>
        <i x="25" s="1"/>
        <i x="58" s="1"/>
        <i x="4" s="1"/>
        <i x="72" s="1"/>
        <i x="63" s="1"/>
        <i x="14" s="1"/>
        <i x="77" s="1"/>
        <i x="10" s="1"/>
        <i x="66" s="1"/>
        <i x="64" s="1"/>
        <i x="28" s="1"/>
        <i x="38" s="1"/>
        <i x="70" s="1"/>
        <i x="33" s="1"/>
        <i x="39" s="1"/>
        <i x="75" s="1"/>
        <i x="67" s="1"/>
        <i x="65" s="1"/>
        <i x="55" s="1"/>
        <i x="18" s="1"/>
        <i x="19" s="1"/>
        <i x="85" s="1"/>
        <i x="36" s="1"/>
        <i x="8" s="1"/>
        <i x="27" s="1"/>
        <i x="78" s="1"/>
        <i x="60" s="1"/>
        <i x="48" s="1"/>
        <i x="22" s="1"/>
        <i x="59" s="1"/>
        <i x="88" s="1"/>
        <i x="57" s="1"/>
        <i x="68" s="1"/>
        <i x="62" s="1"/>
        <i x="6" s="1"/>
        <i x="17" s="1"/>
        <i x="51" s="1"/>
        <i x="34" s="1"/>
        <i x="79" s="1"/>
        <i x="40" s="1"/>
        <i x="21" s="1"/>
        <i x="54" s="1"/>
        <i x="4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eatment Type" xr10:uid="{62543D94-C5A5-4512-AE89-7DB2FBCD86A1}" cache="Slicer_Treatment_Type" caption="Treatment Type" style="SlicerStyleLight4" rowHeight="241300"/>
  <slicer name="Doctor Name" xr10:uid="{DEFB01A5-0647-4E08-ADCB-F1690984D412}" cache="Slicer_Doctor_Name" caption="Doctor Name" style="SlicerStyleLight4" rowHeight="241300"/>
  <slicer name="Gender" xr10:uid="{78B5A6AB-9A1D-41C8-88D1-973C41C7D9FB}" cache="Slicer_Gender" caption="Gender" style="SlicerStyleLight4" rowHeight="241300"/>
  <slicer name="Age" xr10:uid="{921AD647-181A-4ADB-BB20-6D9119C869BF}" cache="Slicer_Age" caption="Age" startItem="16"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eatment Type 1" xr10:uid="{77BBF980-3247-40A3-8E04-A3180914BB48}" cache="Slicer_Treatment_Type" caption="Treatment Type" style="SlicerStyleLight4" rowHeight="241300"/>
  <slicer name="Doctor Name 1" xr10:uid="{41603522-15C7-487A-8730-3AE058922246}" cache="Slicer_Doctor_Name" caption="Doctor Name" style="SlicerStyleLight4" rowHeight="241300"/>
  <slicer name="Gender 1" xr10:uid="{E4807036-817A-4645-B4CA-12AFA1EA7F90}" cache="Slicer_Gender" caption="Gender" style="SlicerStyleLight4" rowHeight="241300"/>
  <slicer name="Age 1" xr10:uid="{D23F61ED-65B6-48C8-A184-4BCFA77B4958}" cache="Slicer_Age" caption="Age" startItem="16"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A0D890-5E15-4BBA-ADF4-FF6BC5ED5912}" name="Table1" displayName="Table1" ref="A1:L501" totalsRowShown="0" headerRowDxfId="89" dataDxfId="88">
  <autoFilter ref="A1:L501" xr:uid="{9AA0D890-5E15-4BBA-ADF4-FF6BC5ED5912}"/>
  <tableColumns count="12">
    <tableColumn id="1" xr3:uid="{B37081D5-FBA2-41BB-9C37-78B9A065328A}" name="Patient ID" dataDxfId="87"/>
    <tableColumn id="2" xr3:uid="{9F76839C-C359-4832-91A5-EFB39A4623F6}" name="Department" dataDxfId="86"/>
    <tableColumn id="3" xr3:uid="{44585ADF-E4F4-438C-A691-212ADB0D9423}" name="Treatment Type" dataDxfId="85"/>
    <tableColumn id="4" xr3:uid="{69E1165D-E67D-497E-8EBF-6EE6650239F6}" name="Doctor Name" dataDxfId="84"/>
    <tableColumn id="5" xr3:uid="{3FA245FE-A2CD-4814-92B0-E7DC30196836}" name="Gender" dataDxfId="83"/>
    <tableColumn id="6" xr3:uid="{C60B9978-E26C-4938-927C-A093B9352EF8}" name="Age" dataDxfId="82"/>
    <tableColumn id="7" xr3:uid="{276DBCD9-C258-47BF-93EE-E59C7B4C6926}" name="Treatment Cost" dataDxfId="81"/>
    <tableColumn id="8" xr3:uid="{27E68035-2C4B-4402-B4DE-882B2A13A371}" name="Hospital Stay (Days)" dataDxfId="80"/>
    <tableColumn id="9" xr3:uid="{C8998920-707B-4612-8B36-22813FAF8E7F}" name="Recovery Score" dataDxfId="79"/>
    <tableColumn id="10" xr3:uid="{F918FDB7-F0EF-4A65-A996-9458E1E3BC60}" name="Cost Category" dataDxfId="78">
      <calculatedColumnFormula>IF(Table1[[#This Row],[Treatment Cost]]&gt;75000,"HIGH COST","LOW COST")</calculatedColumnFormula>
    </tableColumn>
    <tableColumn id="11" xr3:uid="{0332EB29-26B6-4F93-B632-D2BFE2A8336A}" name="Age Group" dataDxfId="77">
      <calculatedColumnFormula>IF(Table1[[#This Row],[Age]]&gt;=60,"Senior Citizen",IF(AND(Table1[[#This Row],[Age]]&gt;=18,Table1[[#This Row],[Age]]&lt;60),"Adult",IF(Table1[[#This Row],[Age]]&lt;18,"Child")))</calculatedColumnFormula>
    </tableColumn>
    <tableColumn id="12" xr3:uid="{CBCD6561-E0EC-45A4-AC58-C92A78CFB408}" name="Column1" dataDxfId="76"/>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1"/>
  <sheetViews>
    <sheetView workbookViewId="0">
      <selection activeCell="V32" sqref="V32"/>
    </sheetView>
  </sheetViews>
  <sheetFormatPr defaultRowHeight="15" x14ac:dyDescent="0.25"/>
  <sheetData>
    <row r="1" spans="1:9" x14ac:dyDescent="0.25">
      <c r="A1" t="s">
        <v>0</v>
      </c>
      <c r="B1" t="s">
        <v>1</v>
      </c>
      <c r="C1" t="s">
        <v>2</v>
      </c>
      <c r="D1" t="s">
        <v>3</v>
      </c>
      <c r="E1" t="s">
        <v>4</v>
      </c>
      <c r="F1" t="s">
        <v>5</v>
      </c>
      <c r="G1" t="s">
        <v>6</v>
      </c>
      <c r="H1" t="s">
        <v>7</v>
      </c>
      <c r="I1" t="s">
        <v>8</v>
      </c>
    </row>
    <row r="2" spans="1:9" x14ac:dyDescent="0.25">
      <c r="A2" t="s">
        <v>9</v>
      </c>
      <c r="B2" t="s">
        <v>10</v>
      </c>
      <c r="C2" t="s">
        <v>11</v>
      </c>
      <c r="D2" t="s">
        <v>12</v>
      </c>
      <c r="E2" t="s">
        <v>13</v>
      </c>
      <c r="F2">
        <v>16</v>
      </c>
      <c r="G2">
        <v>37596.44</v>
      </c>
      <c r="H2">
        <v>24</v>
      </c>
      <c r="I2">
        <v>90</v>
      </c>
    </row>
    <row r="3" spans="1:9" x14ac:dyDescent="0.25">
      <c r="A3" t="s">
        <v>14</v>
      </c>
      <c r="B3" t="s">
        <v>15</v>
      </c>
      <c r="C3" t="s">
        <v>11</v>
      </c>
      <c r="D3" t="s">
        <v>16</v>
      </c>
      <c r="E3" t="s">
        <v>17</v>
      </c>
      <c r="F3">
        <v>38</v>
      </c>
      <c r="G3">
        <v>43526.9</v>
      </c>
      <c r="H3">
        <v>5</v>
      </c>
      <c r="I3">
        <v>45</v>
      </c>
    </row>
    <row r="4" spans="1:9" x14ac:dyDescent="0.25">
      <c r="A4" t="s">
        <v>18</v>
      </c>
      <c r="B4" t="s">
        <v>19</v>
      </c>
      <c r="C4" t="s">
        <v>20</v>
      </c>
      <c r="D4" t="s">
        <v>21</v>
      </c>
      <c r="E4" t="s">
        <v>17</v>
      </c>
      <c r="F4">
        <v>34</v>
      </c>
      <c r="G4">
        <v>102515.96</v>
      </c>
      <c r="H4">
        <v>3</v>
      </c>
      <c r="I4">
        <v>90</v>
      </c>
    </row>
    <row r="5" spans="1:9" x14ac:dyDescent="0.25">
      <c r="A5" t="s">
        <v>22</v>
      </c>
      <c r="B5" t="s">
        <v>10</v>
      </c>
      <c r="C5" t="s">
        <v>23</v>
      </c>
      <c r="D5" t="s">
        <v>24</v>
      </c>
      <c r="E5" t="s">
        <v>13</v>
      </c>
      <c r="F5">
        <v>43</v>
      </c>
      <c r="G5">
        <v>117944.99</v>
      </c>
      <c r="H5">
        <v>29</v>
      </c>
      <c r="I5">
        <v>73</v>
      </c>
    </row>
    <row r="6" spans="1:9" x14ac:dyDescent="0.25">
      <c r="A6" t="s">
        <v>25</v>
      </c>
      <c r="B6" t="s">
        <v>15</v>
      </c>
      <c r="C6" t="s">
        <v>11</v>
      </c>
      <c r="D6" t="s">
        <v>26</v>
      </c>
      <c r="E6" t="s">
        <v>13</v>
      </c>
      <c r="F6">
        <v>50</v>
      </c>
      <c r="G6">
        <v>64449.82</v>
      </c>
      <c r="H6">
        <v>19</v>
      </c>
      <c r="I6">
        <v>88</v>
      </c>
    </row>
    <row r="7" spans="1:9" x14ac:dyDescent="0.25">
      <c r="A7" t="s">
        <v>27</v>
      </c>
      <c r="B7" t="s">
        <v>19</v>
      </c>
      <c r="C7" t="s">
        <v>20</v>
      </c>
      <c r="D7" t="s">
        <v>16</v>
      </c>
      <c r="E7" t="s">
        <v>13</v>
      </c>
      <c r="F7">
        <v>5</v>
      </c>
      <c r="G7">
        <v>191398.91</v>
      </c>
      <c r="H7">
        <v>11</v>
      </c>
      <c r="I7">
        <v>62</v>
      </c>
    </row>
    <row r="8" spans="1:9" x14ac:dyDescent="0.25">
      <c r="A8" t="s">
        <v>28</v>
      </c>
      <c r="B8" t="s">
        <v>15</v>
      </c>
      <c r="C8" t="s">
        <v>23</v>
      </c>
      <c r="D8" t="s">
        <v>21</v>
      </c>
      <c r="E8" t="s">
        <v>29</v>
      </c>
      <c r="F8">
        <v>82</v>
      </c>
      <c r="G8">
        <v>90815.49</v>
      </c>
      <c r="H8">
        <v>30</v>
      </c>
      <c r="I8">
        <v>97</v>
      </c>
    </row>
    <row r="9" spans="1:9" x14ac:dyDescent="0.25">
      <c r="A9" t="s">
        <v>30</v>
      </c>
      <c r="B9" t="s">
        <v>31</v>
      </c>
      <c r="C9" t="s">
        <v>23</v>
      </c>
      <c r="D9" t="s">
        <v>16</v>
      </c>
      <c r="E9" t="s">
        <v>13</v>
      </c>
      <c r="F9">
        <v>37</v>
      </c>
      <c r="G9">
        <v>179279.69</v>
      </c>
      <c r="H9">
        <v>21</v>
      </c>
      <c r="I9">
        <v>55</v>
      </c>
    </row>
    <row r="10" spans="1:9" x14ac:dyDescent="0.25">
      <c r="A10" t="s">
        <v>32</v>
      </c>
      <c r="B10" t="s">
        <v>19</v>
      </c>
      <c r="C10" t="s">
        <v>11</v>
      </c>
      <c r="D10" t="s">
        <v>16</v>
      </c>
      <c r="E10" t="s">
        <v>13</v>
      </c>
      <c r="F10">
        <v>71</v>
      </c>
      <c r="G10">
        <v>135829.76999999999</v>
      </c>
      <c r="H10">
        <v>5</v>
      </c>
      <c r="I10">
        <v>66</v>
      </c>
    </row>
    <row r="11" spans="1:9" x14ac:dyDescent="0.25">
      <c r="A11" t="s">
        <v>33</v>
      </c>
      <c r="B11" t="s">
        <v>34</v>
      </c>
      <c r="C11" t="s">
        <v>23</v>
      </c>
      <c r="D11" t="s">
        <v>26</v>
      </c>
      <c r="E11" t="s">
        <v>17</v>
      </c>
      <c r="F11">
        <v>26</v>
      </c>
      <c r="G11">
        <v>129006.98</v>
      </c>
      <c r="H11">
        <v>26</v>
      </c>
      <c r="I11">
        <v>67</v>
      </c>
    </row>
    <row r="12" spans="1:9" x14ac:dyDescent="0.25">
      <c r="A12" t="s">
        <v>35</v>
      </c>
      <c r="B12" t="s">
        <v>36</v>
      </c>
      <c r="C12" t="s">
        <v>23</v>
      </c>
      <c r="D12" t="s">
        <v>26</v>
      </c>
      <c r="E12" t="s">
        <v>29</v>
      </c>
      <c r="F12">
        <v>55</v>
      </c>
      <c r="G12">
        <v>63125.67</v>
      </c>
      <c r="H12">
        <v>26</v>
      </c>
      <c r="I12">
        <v>49</v>
      </c>
    </row>
    <row r="13" spans="1:9" x14ac:dyDescent="0.25">
      <c r="A13" t="s">
        <v>37</v>
      </c>
      <c r="B13" t="s">
        <v>36</v>
      </c>
      <c r="C13" t="s">
        <v>23</v>
      </c>
      <c r="D13" t="s">
        <v>16</v>
      </c>
      <c r="E13" t="s">
        <v>13</v>
      </c>
      <c r="F13">
        <v>36</v>
      </c>
      <c r="G13">
        <v>145732.32999999999</v>
      </c>
      <c r="H13">
        <v>11</v>
      </c>
      <c r="I13">
        <v>46</v>
      </c>
    </row>
    <row r="14" spans="1:9" x14ac:dyDescent="0.25">
      <c r="A14" t="s">
        <v>38</v>
      </c>
      <c r="B14" t="s">
        <v>31</v>
      </c>
      <c r="C14" t="s">
        <v>20</v>
      </c>
      <c r="D14" t="s">
        <v>24</v>
      </c>
      <c r="E14" t="s">
        <v>29</v>
      </c>
      <c r="F14">
        <v>42</v>
      </c>
      <c r="G14">
        <v>68270.3</v>
      </c>
      <c r="H14">
        <v>14</v>
      </c>
      <c r="I14">
        <v>93</v>
      </c>
    </row>
    <row r="15" spans="1:9" x14ac:dyDescent="0.25">
      <c r="A15" t="s">
        <v>39</v>
      </c>
      <c r="B15" t="s">
        <v>19</v>
      </c>
      <c r="C15" t="s">
        <v>40</v>
      </c>
      <c r="D15" t="s">
        <v>21</v>
      </c>
      <c r="E15" t="s">
        <v>17</v>
      </c>
      <c r="F15">
        <v>35</v>
      </c>
      <c r="G15">
        <v>83924.18</v>
      </c>
      <c r="H15">
        <v>28</v>
      </c>
      <c r="I15">
        <v>85</v>
      </c>
    </row>
    <row r="16" spans="1:9" x14ac:dyDescent="0.25">
      <c r="A16" t="s">
        <v>41</v>
      </c>
      <c r="B16" t="s">
        <v>10</v>
      </c>
      <c r="C16" t="s">
        <v>40</v>
      </c>
      <c r="D16" t="s">
        <v>16</v>
      </c>
      <c r="E16" t="s">
        <v>29</v>
      </c>
      <c r="F16">
        <v>53</v>
      </c>
      <c r="G16">
        <v>84925.89</v>
      </c>
      <c r="H16">
        <v>5</v>
      </c>
      <c r="I16">
        <v>58</v>
      </c>
    </row>
    <row r="17" spans="1:9" x14ac:dyDescent="0.25">
      <c r="A17" t="s">
        <v>42</v>
      </c>
      <c r="B17" t="s">
        <v>15</v>
      </c>
      <c r="C17" t="s">
        <v>20</v>
      </c>
      <c r="D17" t="s">
        <v>26</v>
      </c>
      <c r="E17" t="s">
        <v>29</v>
      </c>
      <c r="F17">
        <v>44</v>
      </c>
      <c r="G17">
        <v>96718.31</v>
      </c>
      <c r="H17">
        <v>20</v>
      </c>
      <c r="I17">
        <v>72</v>
      </c>
    </row>
    <row r="18" spans="1:9" x14ac:dyDescent="0.25">
      <c r="A18" t="s">
        <v>43</v>
      </c>
      <c r="B18" t="s">
        <v>31</v>
      </c>
      <c r="C18" t="s">
        <v>23</v>
      </c>
      <c r="D18" t="s">
        <v>16</v>
      </c>
      <c r="E18" t="s">
        <v>13</v>
      </c>
      <c r="F18">
        <v>4</v>
      </c>
      <c r="G18">
        <v>73619.009999999995</v>
      </c>
      <c r="H18">
        <v>21</v>
      </c>
      <c r="I18">
        <v>91</v>
      </c>
    </row>
    <row r="19" spans="1:9" x14ac:dyDescent="0.25">
      <c r="A19" t="s">
        <v>44</v>
      </c>
      <c r="B19" t="s">
        <v>31</v>
      </c>
      <c r="C19" t="s">
        <v>40</v>
      </c>
      <c r="D19" t="s">
        <v>24</v>
      </c>
      <c r="E19" t="s">
        <v>17</v>
      </c>
      <c r="F19">
        <v>83</v>
      </c>
      <c r="G19">
        <v>11269.13</v>
      </c>
      <c r="H19">
        <v>9</v>
      </c>
      <c r="I19">
        <v>99</v>
      </c>
    </row>
    <row r="20" spans="1:9" x14ac:dyDescent="0.25">
      <c r="A20" t="s">
        <v>45</v>
      </c>
      <c r="B20" t="s">
        <v>34</v>
      </c>
      <c r="C20" t="s">
        <v>40</v>
      </c>
      <c r="D20" t="s">
        <v>12</v>
      </c>
      <c r="E20" t="s">
        <v>13</v>
      </c>
      <c r="F20">
        <v>67</v>
      </c>
      <c r="G20">
        <v>65910.47</v>
      </c>
      <c r="H20">
        <v>5</v>
      </c>
      <c r="I20">
        <v>69</v>
      </c>
    </row>
    <row r="21" spans="1:9" x14ac:dyDescent="0.25">
      <c r="A21" t="s">
        <v>46</v>
      </c>
      <c r="B21" t="s">
        <v>19</v>
      </c>
      <c r="C21" t="s">
        <v>20</v>
      </c>
      <c r="D21" t="s">
        <v>16</v>
      </c>
      <c r="E21" t="s">
        <v>29</v>
      </c>
      <c r="F21">
        <v>36</v>
      </c>
      <c r="G21">
        <v>114129.23</v>
      </c>
      <c r="H21">
        <v>3</v>
      </c>
      <c r="I21">
        <v>68</v>
      </c>
    </row>
    <row r="22" spans="1:9" x14ac:dyDescent="0.25">
      <c r="A22" t="s">
        <v>47</v>
      </c>
      <c r="B22" t="s">
        <v>15</v>
      </c>
      <c r="C22" t="s">
        <v>23</v>
      </c>
      <c r="D22" t="s">
        <v>21</v>
      </c>
      <c r="E22" t="s">
        <v>17</v>
      </c>
      <c r="F22">
        <v>68</v>
      </c>
      <c r="G22">
        <v>70940.570000000007</v>
      </c>
      <c r="H22">
        <v>10</v>
      </c>
      <c r="I22">
        <v>98</v>
      </c>
    </row>
    <row r="23" spans="1:9" x14ac:dyDescent="0.25">
      <c r="A23" t="s">
        <v>48</v>
      </c>
      <c r="B23" t="s">
        <v>36</v>
      </c>
      <c r="C23" t="s">
        <v>11</v>
      </c>
      <c r="D23" t="s">
        <v>12</v>
      </c>
      <c r="E23" t="s">
        <v>13</v>
      </c>
      <c r="F23">
        <v>15</v>
      </c>
      <c r="G23">
        <v>158965.96</v>
      </c>
      <c r="H23">
        <v>24</v>
      </c>
      <c r="I23">
        <v>61</v>
      </c>
    </row>
    <row r="24" spans="1:9" x14ac:dyDescent="0.25">
      <c r="A24" t="s">
        <v>49</v>
      </c>
      <c r="B24" t="s">
        <v>10</v>
      </c>
      <c r="C24" t="s">
        <v>20</v>
      </c>
      <c r="D24" t="s">
        <v>24</v>
      </c>
      <c r="E24" t="s">
        <v>29</v>
      </c>
      <c r="F24">
        <v>88</v>
      </c>
      <c r="G24">
        <v>162134.74</v>
      </c>
      <c r="H24">
        <v>27</v>
      </c>
      <c r="I24">
        <v>75</v>
      </c>
    </row>
    <row r="25" spans="1:9" x14ac:dyDescent="0.25">
      <c r="A25" t="s">
        <v>50</v>
      </c>
      <c r="B25" t="s">
        <v>10</v>
      </c>
      <c r="C25" t="s">
        <v>11</v>
      </c>
      <c r="D25" t="s">
        <v>24</v>
      </c>
      <c r="E25" t="s">
        <v>13</v>
      </c>
      <c r="F25">
        <v>68</v>
      </c>
      <c r="G25">
        <v>25291.16</v>
      </c>
      <c r="H25">
        <v>29</v>
      </c>
      <c r="I25">
        <v>57</v>
      </c>
    </row>
    <row r="26" spans="1:9" x14ac:dyDescent="0.25">
      <c r="A26" t="s">
        <v>51</v>
      </c>
      <c r="B26" t="s">
        <v>15</v>
      </c>
      <c r="C26" t="s">
        <v>23</v>
      </c>
      <c r="D26" t="s">
        <v>21</v>
      </c>
      <c r="E26" t="s">
        <v>29</v>
      </c>
      <c r="F26">
        <v>76</v>
      </c>
      <c r="G26">
        <v>58495.66</v>
      </c>
      <c r="H26">
        <v>1</v>
      </c>
      <c r="I26">
        <v>97</v>
      </c>
    </row>
    <row r="27" spans="1:9" x14ac:dyDescent="0.25">
      <c r="A27" t="s">
        <v>52</v>
      </c>
      <c r="B27" t="s">
        <v>10</v>
      </c>
      <c r="C27" t="s">
        <v>40</v>
      </c>
      <c r="D27" t="s">
        <v>26</v>
      </c>
      <c r="E27" t="s">
        <v>13</v>
      </c>
      <c r="F27">
        <v>18</v>
      </c>
      <c r="G27">
        <v>17828.759999999998</v>
      </c>
      <c r="H27">
        <v>27</v>
      </c>
      <c r="I27">
        <v>53</v>
      </c>
    </row>
    <row r="28" spans="1:9" x14ac:dyDescent="0.25">
      <c r="A28" t="s">
        <v>53</v>
      </c>
      <c r="B28" t="s">
        <v>19</v>
      </c>
      <c r="C28" t="s">
        <v>40</v>
      </c>
      <c r="D28" t="s">
        <v>24</v>
      </c>
      <c r="E28" t="s">
        <v>13</v>
      </c>
      <c r="F28">
        <v>50</v>
      </c>
      <c r="G28">
        <v>72486.28</v>
      </c>
      <c r="H28">
        <v>1</v>
      </c>
      <c r="I28">
        <v>93</v>
      </c>
    </row>
    <row r="29" spans="1:9" x14ac:dyDescent="0.25">
      <c r="A29" t="s">
        <v>54</v>
      </c>
      <c r="B29" t="s">
        <v>36</v>
      </c>
      <c r="C29" t="s">
        <v>11</v>
      </c>
      <c r="D29" t="s">
        <v>21</v>
      </c>
      <c r="E29" t="s">
        <v>29</v>
      </c>
      <c r="F29">
        <v>27</v>
      </c>
      <c r="G29">
        <v>190953.29</v>
      </c>
      <c r="H29">
        <v>26</v>
      </c>
      <c r="I29">
        <v>95</v>
      </c>
    </row>
    <row r="30" spans="1:9" x14ac:dyDescent="0.25">
      <c r="A30" t="s">
        <v>55</v>
      </c>
      <c r="B30" t="s">
        <v>10</v>
      </c>
      <c r="C30" t="s">
        <v>23</v>
      </c>
      <c r="D30" t="s">
        <v>26</v>
      </c>
      <c r="E30" t="s">
        <v>17</v>
      </c>
      <c r="F30">
        <v>48</v>
      </c>
      <c r="G30">
        <v>6166.71</v>
      </c>
      <c r="H30">
        <v>8</v>
      </c>
      <c r="I30">
        <v>95</v>
      </c>
    </row>
    <row r="31" spans="1:9" x14ac:dyDescent="0.25">
      <c r="A31" t="s">
        <v>56</v>
      </c>
      <c r="B31" t="s">
        <v>10</v>
      </c>
      <c r="C31" t="s">
        <v>11</v>
      </c>
      <c r="D31" t="s">
        <v>21</v>
      </c>
      <c r="E31" t="s">
        <v>17</v>
      </c>
      <c r="F31">
        <v>14</v>
      </c>
      <c r="G31">
        <v>80015.539999999994</v>
      </c>
      <c r="H31">
        <v>13</v>
      </c>
      <c r="I31">
        <v>47</v>
      </c>
    </row>
    <row r="32" spans="1:9" x14ac:dyDescent="0.25">
      <c r="A32" t="s">
        <v>57</v>
      </c>
      <c r="B32" t="s">
        <v>10</v>
      </c>
      <c r="C32" t="s">
        <v>40</v>
      </c>
      <c r="D32" t="s">
        <v>16</v>
      </c>
      <c r="E32" t="s">
        <v>13</v>
      </c>
      <c r="F32">
        <v>72</v>
      </c>
      <c r="G32">
        <v>81761.490000000005</v>
      </c>
      <c r="H32">
        <v>29</v>
      </c>
      <c r="I32">
        <v>82</v>
      </c>
    </row>
    <row r="33" spans="1:9" x14ac:dyDescent="0.25">
      <c r="A33" t="s">
        <v>58</v>
      </c>
      <c r="B33" t="s">
        <v>19</v>
      </c>
      <c r="C33" t="s">
        <v>20</v>
      </c>
      <c r="D33" t="s">
        <v>12</v>
      </c>
      <c r="E33" t="s">
        <v>13</v>
      </c>
      <c r="F33">
        <v>82</v>
      </c>
      <c r="G33">
        <v>165087.66</v>
      </c>
      <c r="H33">
        <v>7</v>
      </c>
      <c r="I33">
        <v>57</v>
      </c>
    </row>
    <row r="34" spans="1:9" x14ac:dyDescent="0.25">
      <c r="A34" t="s">
        <v>59</v>
      </c>
      <c r="B34" t="s">
        <v>31</v>
      </c>
      <c r="C34" t="s">
        <v>23</v>
      </c>
      <c r="D34" t="s">
        <v>26</v>
      </c>
      <c r="E34" t="s">
        <v>13</v>
      </c>
      <c r="F34">
        <v>76</v>
      </c>
      <c r="G34">
        <v>175356.57</v>
      </c>
      <c r="H34">
        <v>8</v>
      </c>
      <c r="I34">
        <v>96</v>
      </c>
    </row>
    <row r="35" spans="1:9" x14ac:dyDescent="0.25">
      <c r="A35" t="s">
        <v>60</v>
      </c>
      <c r="B35" t="s">
        <v>31</v>
      </c>
      <c r="C35" t="s">
        <v>20</v>
      </c>
      <c r="D35" t="s">
        <v>26</v>
      </c>
      <c r="E35" t="s">
        <v>17</v>
      </c>
      <c r="F35">
        <v>55</v>
      </c>
      <c r="G35">
        <v>82573.09</v>
      </c>
      <c r="H35">
        <v>5</v>
      </c>
      <c r="I35">
        <v>54</v>
      </c>
    </row>
    <row r="36" spans="1:9" x14ac:dyDescent="0.25">
      <c r="A36" t="s">
        <v>61</v>
      </c>
      <c r="B36" t="s">
        <v>31</v>
      </c>
      <c r="C36" t="s">
        <v>40</v>
      </c>
      <c r="D36" t="s">
        <v>26</v>
      </c>
      <c r="E36" t="s">
        <v>29</v>
      </c>
      <c r="F36">
        <v>58</v>
      </c>
      <c r="G36">
        <v>190373.39</v>
      </c>
      <c r="H36">
        <v>30</v>
      </c>
      <c r="I36">
        <v>48</v>
      </c>
    </row>
    <row r="37" spans="1:9" x14ac:dyDescent="0.25">
      <c r="A37" t="s">
        <v>62</v>
      </c>
      <c r="B37" t="s">
        <v>10</v>
      </c>
      <c r="C37" t="s">
        <v>11</v>
      </c>
      <c r="D37" t="s">
        <v>16</v>
      </c>
      <c r="E37" t="s">
        <v>17</v>
      </c>
      <c r="F37">
        <v>29</v>
      </c>
      <c r="G37">
        <v>154928.19</v>
      </c>
      <c r="H37">
        <v>2</v>
      </c>
      <c r="I37">
        <v>79</v>
      </c>
    </row>
    <row r="38" spans="1:9" x14ac:dyDescent="0.25">
      <c r="A38" t="s">
        <v>63</v>
      </c>
      <c r="B38" t="s">
        <v>34</v>
      </c>
      <c r="C38" t="s">
        <v>40</v>
      </c>
      <c r="D38" t="s">
        <v>16</v>
      </c>
      <c r="E38" t="s">
        <v>29</v>
      </c>
      <c r="F38">
        <v>6</v>
      </c>
      <c r="G38">
        <v>26710.43</v>
      </c>
      <c r="H38">
        <v>3</v>
      </c>
      <c r="I38">
        <v>84</v>
      </c>
    </row>
    <row r="39" spans="1:9" x14ac:dyDescent="0.25">
      <c r="A39" t="s">
        <v>64</v>
      </c>
      <c r="B39" t="s">
        <v>31</v>
      </c>
      <c r="C39" t="s">
        <v>40</v>
      </c>
      <c r="D39" t="s">
        <v>24</v>
      </c>
      <c r="E39" t="s">
        <v>17</v>
      </c>
      <c r="F39">
        <v>24</v>
      </c>
      <c r="G39">
        <v>73116</v>
      </c>
      <c r="H39">
        <v>28</v>
      </c>
      <c r="I39">
        <v>76</v>
      </c>
    </row>
    <row r="40" spans="1:9" x14ac:dyDescent="0.25">
      <c r="A40" t="s">
        <v>65</v>
      </c>
      <c r="B40" t="s">
        <v>19</v>
      </c>
      <c r="C40" t="s">
        <v>20</v>
      </c>
      <c r="D40" t="s">
        <v>16</v>
      </c>
      <c r="E40" t="s">
        <v>17</v>
      </c>
      <c r="F40">
        <v>23</v>
      </c>
      <c r="G40">
        <v>154946.41</v>
      </c>
      <c r="H40">
        <v>12</v>
      </c>
      <c r="I40">
        <v>42</v>
      </c>
    </row>
    <row r="41" spans="1:9" x14ac:dyDescent="0.25">
      <c r="A41" t="s">
        <v>66</v>
      </c>
      <c r="B41" t="s">
        <v>34</v>
      </c>
      <c r="C41" t="s">
        <v>20</v>
      </c>
      <c r="D41" t="s">
        <v>21</v>
      </c>
      <c r="E41" t="s">
        <v>29</v>
      </c>
      <c r="F41">
        <v>44</v>
      </c>
      <c r="G41">
        <v>122475.14</v>
      </c>
      <c r="H41">
        <v>13</v>
      </c>
      <c r="I41">
        <v>86</v>
      </c>
    </row>
    <row r="42" spans="1:9" x14ac:dyDescent="0.25">
      <c r="A42" t="s">
        <v>67</v>
      </c>
      <c r="B42" t="s">
        <v>31</v>
      </c>
      <c r="C42" t="s">
        <v>11</v>
      </c>
      <c r="D42" t="s">
        <v>24</v>
      </c>
      <c r="E42" t="s">
        <v>29</v>
      </c>
      <c r="F42">
        <v>61</v>
      </c>
      <c r="G42">
        <v>44785.39</v>
      </c>
      <c r="H42">
        <v>18</v>
      </c>
      <c r="I42">
        <v>60</v>
      </c>
    </row>
    <row r="43" spans="1:9" x14ac:dyDescent="0.25">
      <c r="A43" t="s">
        <v>68</v>
      </c>
      <c r="B43" t="s">
        <v>31</v>
      </c>
      <c r="C43" t="s">
        <v>11</v>
      </c>
      <c r="D43" t="s">
        <v>24</v>
      </c>
      <c r="E43" t="s">
        <v>29</v>
      </c>
      <c r="F43">
        <v>85</v>
      </c>
      <c r="G43">
        <v>4230.97</v>
      </c>
      <c r="H43">
        <v>15</v>
      </c>
      <c r="I43">
        <v>59</v>
      </c>
    </row>
    <row r="44" spans="1:9" x14ac:dyDescent="0.25">
      <c r="A44" t="s">
        <v>69</v>
      </c>
      <c r="B44" t="s">
        <v>36</v>
      </c>
      <c r="C44" t="s">
        <v>23</v>
      </c>
      <c r="D44" t="s">
        <v>26</v>
      </c>
      <c r="E44" t="s">
        <v>13</v>
      </c>
      <c r="F44">
        <v>11</v>
      </c>
      <c r="G44">
        <v>190757.12</v>
      </c>
      <c r="H44">
        <v>15</v>
      </c>
      <c r="I44">
        <v>65</v>
      </c>
    </row>
    <row r="45" spans="1:9" x14ac:dyDescent="0.25">
      <c r="A45" t="s">
        <v>70</v>
      </c>
      <c r="B45" t="s">
        <v>15</v>
      </c>
      <c r="C45" t="s">
        <v>23</v>
      </c>
      <c r="D45" t="s">
        <v>26</v>
      </c>
      <c r="E45" t="s">
        <v>29</v>
      </c>
      <c r="F45">
        <v>70</v>
      </c>
      <c r="G45">
        <v>161131.6</v>
      </c>
      <c r="H45">
        <v>8</v>
      </c>
      <c r="I45">
        <v>74</v>
      </c>
    </row>
    <row r="46" spans="1:9" x14ac:dyDescent="0.25">
      <c r="A46" t="s">
        <v>71</v>
      </c>
      <c r="B46" t="s">
        <v>19</v>
      </c>
      <c r="C46" t="s">
        <v>23</v>
      </c>
      <c r="D46" t="s">
        <v>24</v>
      </c>
      <c r="E46" t="s">
        <v>13</v>
      </c>
      <c r="F46">
        <v>10</v>
      </c>
      <c r="G46">
        <v>73649.5</v>
      </c>
      <c r="H46">
        <v>1</v>
      </c>
      <c r="I46">
        <v>74</v>
      </c>
    </row>
    <row r="47" spans="1:9" x14ac:dyDescent="0.25">
      <c r="A47" t="s">
        <v>72</v>
      </c>
      <c r="B47" t="s">
        <v>31</v>
      </c>
      <c r="C47" t="s">
        <v>11</v>
      </c>
      <c r="D47" t="s">
        <v>26</v>
      </c>
      <c r="E47" t="s">
        <v>17</v>
      </c>
      <c r="F47">
        <v>88</v>
      </c>
      <c r="G47">
        <v>61188.39</v>
      </c>
      <c r="H47">
        <v>23</v>
      </c>
      <c r="I47">
        <v>67</v>
      </c>
    </row>
    <row r="48" spans="1:9" x14ac:dyDescent="0.25">
      <c r="A48" t="s">
        <v>73</v>
      </c>
      <c r="B48" t="s">
        <v>19</v>
      </c>
      <c r="C48" t="s">
        <v>20</v>
      </c>
      <c r="D48" t="s">
        <v>12</v>
      </c>
      <c r="E48" t="s">
        <v>17</v>
      </c>
      <c r="F48">
        <v>59</v>
      </c>
      <c r="G48">
        <v>102180.68</v>
      </c>
      <c r="H48">
        <v>26</v>
      </c>
      <c r="I48">
        <v>99</v>
      </c>
    </row>
    <row r="49" spans="1:9" x14ac:dyDescent="0.25">
      <c r="A49" t="s">
        <v>74</v>
      </c>
      <c r="B49" t="s">
        <v>34</v>
      </c>
      <c r="C49" t="s">
        <v>23</v>
      </c>
      <c r="D49" t="s">
        <v>21</v>
      </c>
      <c r="E49" t="s">
        <v>29</v>
      </c>
      <c r="F49">
        <v>62</v>
      </c>
      <c r="G49">
        <v>94266.39</v>
      </c>
      <c r="H49">
        <v>13</v>
      </c>
      <c r="I49">
        <v>51</v>
      </c>
    </row>
    <row r="50" spans="1:9" x14ac:dyDescent="0.25">
      <c r="A50" t="s">
        <v>75</v>
      </c>
      <c r="B50" t="s">
        <v>10</v>
      </c>
      <c r="C50" t="s">
        <v>11</v>
      </c>
      <c r="D50" t="s">
        <v>21</v>
      </c>
      <c r="E50" t="s">
        <v>13</v>
      </c>
      <c r="F50">
        <v>87</v>
      </c>
      <c r="G50">
        <v>16790.689999999999</v>
      </c>
      <c r="H50">
        <v>5</v>
      </c>
      <c r="I50">
        <v>51</v>
      </c>
    </row>
    <row r="51" spans="1:9" x14ac:dyDescent="0.25">
      <c r="A51" t="s">
        <v>76</v>
      </c>
      <c r="B51" t="s">
        <v>10</v>
      </c>
      <c r="C51" t="s">
        <v>40</v>
      </c>
      <c r="D51" t="s">
        <v>24</v>
      </c>
      <c r="E51" t="s">
        <v>29</v>
      </c>
      <c r="F51">
        <v>32</v>
      </c>
      <c r="G51">
        <v>35239.75</v>
      </c>
      <c r="H51">
        <v>7</v>
      </c>
      <c r="I51">
        <v>49</v>
      </c>
    </row>
    <row r="52" spans="1:9" x14ac:dyDescent="0.25">
      <c r="A52" t="s">
        <v>77</v>
      </c>
      <c r="B52" t="s">
        <v>15</v>
      </c>
      <c r="C52" t="s">
        <v>11</v>
      </c>
      <c r="D52" t="s">
        <v>16</v>
      </c>
      <c r="E52" t="s">
        <v>29</v>
      </c>
      <c r="F52">
        <v>41</v>
      </c>
      <c r="G52">
        <v>21174.65</v>
      </c>
      <c r="H52">
        <v>1</v>
      </c>
      <c r="I52">
        <v>48</v>
      </c>
    </row>
    <row r="53" spans="1:9" x14ac:dyDescent="0.25">
      <c r="A53" t="s">
        <v>78</v>
      </c>
      <c r="B53" t="s">
        <v>15</v>
      </c>
      <c r="C53" t="s">
        <v>20</v>
      </c>
      <c r="D53" t="s">
        <v>12</v>
      </c>
      <c r="E53" t="s">
        <v>13</v>
      </c>
      <c r="F53">
        <v>12</v>
      </c>
      <c r="G53">
        <v>148682.53</v>
      </c>
      <c r="H53">
        <v>3</v>
      </c>
      <c r="I53">
        <v>68</v>
      </c>
    </row>
    <row r="54" spans="1:9" x14ac:dyDescent="0.25">
      <c r="A54" t="s">
        <v>79</v>
      </c>
      <c r="B54" t="s">
        <v>15</v>
      </c>
      <c r="C54" t="s">
        <v>40</v>
      </c>
      <c r="D54" t="s">
        <v>26</v>
      </c>
      <c r="E54" t="s">
        <v>13</v>
      </c>
      <c r="F54">
        <v>2</v>
      </c>
      <c r="G54">
        <v>17618.91</v>
      </c>
      <c r="H54">
        <v>14</v>
      </c>
      <c r="I54">
        <v>94</v>
      </c>
    </row>
    <row r="55" spans="1:9" x14ac:dyDescent="0.25">
      <c r="A55" t="s">
        <v>80</v>
      </c>
      <c r="B55" t="s">
        <v>10</v>
      </c>
      <c r="C55" t="s">
        <v>40</v>
      </c>
      <c r="D55" t="s">
        <v>26</v>
      </c>
      <c r="E55" t="s">
        <v>13</v>
      </c>
      <c r="F55">
        <v>41</v>
      </c>
      <c r="G55">
        <v>140709.71</v>
      </c>
      <c r="H55">
        <v>16</v>
      </c>
      <c r="I55">
        <v>66</v>
      </c>
    </row>
    <row r="56" spans="1:9" x14ac:dyDescent="0.25">
      <c r="A56" t="s">
        <v>81</v>
      </c>
      <c r="B56" t="s">
        <v>36</v>
      </c>
      <c r="C56" t="s">
        <v>11</v>
      </c>
      <c r="D56" t="s">
        <v>16</v>
      </c>
      <c r="E56" t="s">
        <v>29</v>
      </c>
      <c r="F56">
        <v>22</v>
      </c>
      <c r="G56">
        <v>174081.1</v>
      </c>
      <c r="H56">
        <v>7</v>
      </c>
      <c r="I56">
        <v>82</v>
      </c>
    </row>
    <row r="57" spans="1:9" x14ac:dyDescent="0.25">
      <c r="A57" t="s">
        <v>82</v>
      </c>
      <c r="B57" t="s">
        <v>31</v>
      </c>
      <c r="C57" t="s">
        <v>40</v>
      </c>
      <c r="D57" t="s">
        <v>24</v>
      </c>
      <c r="E57" t="s">
        <v>29</v>
      </c>
      <c r="F57">
        <v>12</v>
      </c>
      <c r="G57">
        <v>198550.69</v>
      </c>
      <c r="H57">
        <v>13</v>
      </c>
      <c r="I57">
        <v>75</v>
      </c>
    </row>
    <row r="58" spans="1:9" x14ac:dyDescent="0.25">
      <c r="A58" t="s">
        <v>83</v>
      </c>
      <c r="B58" t="s">
        <v>34</v>
      </c>
      <c r="C58" t="s">
        <v>20</v>
      </c>
      <c r="D58" t="s">
        <v>16</v>
      </c>
      <c r="E58" t="s">
        <v>17</v>
      </c>
      <c r="F58">
        <v>4</v>
      </c>
      <c r="G58">
        <v>195378.45</v>
      </c>
      <c r="H58">
        <v>12</v>
      </c>
      <c r="I58">
        <v>97</v>
      </c>
    </row>
    <row r="59" spans="1:9" x14ac:dyDescent="0.25">
      <c r="A59" t="s">
        <v>84</v>
      </c>
      <c r="B59" t="s">
        <v>31</v>
      </c>
      <c r="C59" t="s">
        <v>20</v>
      </c>
      <c r="D59" t="s">
        <v>12</v>
      </c>
      <c r="E59" t="s">
        <v>13</v>
      </c>
      <c r="F59">
        <v>9</v>
      </c>
      <c r="G59">
        <v>33646.769999999997</v>
      </c>
      <c r="H59">
        <v>2</v>
      </c>
      <c r="I59">
        <v>93</v>
      </c>
    </row>
    <row r="60" spans="1:9" x14ac:dyDescent="0.25">
      <c r="A60" t="s">
        <v>85</v>
      </c>
      <c r="B60" t="s">
        <v>19</v>
      </c>
      <c r="C60" t="s">
        <v>40</v>
      </c>
      <c r="D60" t="s">
        <v>24</v>
      </c>
      <c r="E60" t="s">
        <v>29</v>
      </c>
      <c r="F60">
        <v>90</v>
      </c>
      <c r="G60">
        <v>164022.23000000001</v>
      </c>
      <c r="H60">
        <v>17</v>
      </c>
      <c r="I60">
        <v>97</v>
      </c>
    </row>
    <row r="61" spans="1:9" x14ac:dyDescent="0.25">
      <c r="A61" t="s">
        <v>86</v>
      </c>
      <c r="B61" t="s">
        <v>15</v>
      </c>
      <c r="C61" t="s">
        <v>23</v>
      </c>
      <c r="D61" t="s">
        <v>12</v>
      </c>
      <c r="E61" t="s">
        <v>17</v>
      </c>
      <c r="F61">
        <v>75</v>
      </c>
      <c r="G61">
        <v>188929.01</v>
      </c>
      <c r="H61">
        <v>20</v>
      </c>
      <c r="I61">
        <v>65</v>
      </c>
    </row>
    <row r="62" spans="1:9" x14ac:dyDescent="0.25">
      <c r="A62" t="s">
        <v>87</v>
      </c>
      <c r="B62" t="s">
        <v>36</v>
      </c>
      <c r="C62" t="s">
        <v>11</v>
      </c>
      <c r="D62" t="s">
        <v>26</v>
      </c>
      <c r="E62" t="s">
        <v>29</v>
      </c>
      <c r="F62">
        <v>13</v>
      </c>
      <c r="G62">
        <v>162206.89000000001</v>
      </c>
      <c r="H62">
        <v>25</v>
      </c>
      <c r="I62">
        <v>83</v>
      </c>
    </row>
    <row r="63" spans="1:9" x14ac:dyDescent="0.25">
      <c r="A63" t="s">
        <v>88</v>
      </c>
      <c r="B63" t="s">
        <v>19</v>
      </c>
      <c r="C63" t="s">
        <v>23</v>
      </c>
      <c r="D63" t="s">
        <v>16</v>
      </c>
      <c r="E63" t="s">
        <v>29</v>
      </c>
      <c r="F63">
        <v>8</v>
      </c>
      <c r="G63">
        <v>170444.81</v>
      </c>
      <c r="H63">
        <v>14</v>
      </c>
      <c r="I63">
        <v>60</v>
      </c>
    </row>
    <row r="64" spans="1:9" x14ac:dyDescent="0.25">
      <c r="A64" t="s">
        <v>89</v>
      </c>
      <c r="B64" t="s">
        <v>15</v>
      </c>
      <c r="C64" t="s">
        <v>23</v>
      </c>
      <c r="D64" t="s">
        <v>21</v>
      </c>
      <c r="E64" t="s">
        <v>29</v>
      </c>
      <c r="F64">
        <v>84</v>
      </c>
      <c r="G64">
        <v>161331.17000000001</v>
      </c>
      <c r="H64">
        <v>23</v>
      </c>
      <c r="I64">
        <v>54</v>
      </c>
    </row>
    <row r="65" spans="1:9" x14ac:dyDescent="0.25">
      <c r="A65" t="s">
        <v>90</v>
      </c>
      <c r="B65" t="s">
        <v>10</v>
      </c>
      <c r="C65" t="s">
        <v>11</v>
      </c>
      <c r="D65" t="s">
        <v>26</v>
      </c>
      <c r="E65" t="s">
        <v>13</v>
      </c>
      <c r="F65">
        <v>72</v>
      </c>
      <c r="G65">
        <v>62093.89</v>
      </c>
      <c r="H65">
        <v>25</v>
      </c>
      <c r="I65">
        <v>45</v>
      </c>
    </row>
    <row r="66" spans="1:9" x14ac:dyDescent="0.25">
      <c r="A66" t="s">
        <v>91</v>
      </c>
      <c r="B66" t="s">
        <v>15</v>
      </c>
      <c r="C66" t="s">
        <v>11</v>
      </c>
      <c r="D66" t="s">
        <v>26</v>
      </c>
      <c r="E66" t="s">
        <v>13</v>
      </c>
      <c r="F66">
        <v>21</v>
      </c>
      <c r="G66">
        <v>116049.23</v>
      </c>
      <c r="H66">
        <v>22</v>
      </c>
      <c r="I66">
        <v>97</v>
      </c>
    </row>
    <row r="67" spans="1:9" x14ac:dyDescent="0.25">
      <c r="A67" t="s">
        <v>92</v>
      </c>
      <c r="B67" t="s">
        <v>15</v>
      </c>
      <c r="C67" t="s">
        <v>40</v>
      </c>
      <c r="D67" t="s">
        <v>16</v>
      </c>
      <c r="E67" t="s">
        <v>17</v>
      </c>
      <c r="F67">
        <v>25</v>
      </c>
      <c r="G67">
        <v>128805.91</v>
      </c>
      <c r="H67">
        <v>24</v>
      </c>
      <c r="I67">
        <v>67</v>
      </c>
    </row>
    <row r="68" spans="1:9" x14ac:dyDescent="0.25">
      <c r="A68" t="s">
        <v>93</v>
      </c>
      <c r="B68" t="s">
        <v>36</v>
      </c>
      <c r="C68" t="s">
        <v>40</v>
      </c>
      <c r="D68" t="s">
        <v>24</v>
      </c>
      <c r="E68" t="s">
        <v>17</v>
      </c>
      <c r="F68">
        <v>89</v>
      </c>
      <c r="G68">
        <v>42149.37</v>
      </c>
      <c r="H68">
        <v>16</v>
      </c>
      <c r="I68">
        <v>76</v>
      </c>
    </row>
    <row r="69" spans="1:9" x14ac:dyDescent="0.25">
      <c r="A69" t="s">
        <v>94</v>
      </c>
      <c r="B69" t="s">
        <v>15</v>
      </c>
      <c r="C69" t="s">
        <v>20</v>
      </c>
      <c r="D69" t="s">
        <v>12</v>
      </c>
      <c r="E69" t="s">
        <v>17</v>
      </c>
      <c r="F69">
        <v>66</v>
      </c>
      <c r="G69">
        <v>166067.79</v>
      </c>
      <c r="H69">
        <v>8</v>
      </c>
      <c r="I69">
        <v>86</v>
      </c>
    </row>
    <row r="70" spans="1:9" x14ac:dyDescent="0.25">
      <c r="A70" t="s">
        <v>95</v>
      </c>
      <c r="B70" t="s">
        <v>19</v>
      </c>
      <c r="C70" t="s">
        <v>40</v>
      </c>
      <c r="D70" t="s">
        <v>12</v>
      </c>
      <c r="E70" t="s">
        <v>17</v>
      </c>
      <c r="F70">
        <v>47</v>
      </c>
      <c r="G70">
        <v>183267.59</v>
      </c>
      <c r="H70">
        <v>6</v>
      </c>
      <c r="I70">
        <v>46</v>
      </c>
    </row>
    <row r="71" spans="1:9" x14ac:dyDescent="0.25">
      <c r="A71" t="s">
        <v>96</v>
      </c>
      <c r="B71" t="s">
        <v>36</v>
      </c>
      <c r="C71" t="s">
        <v>40</v>
      </c>
      <c r="D71" t="s">
        <v>26</v>
      </c>
      <c r="E71" t="s">
        <v>29</v>
      </c>
      <c r="F71">
        <v>79</v>
      </c>
      <c r="G71">
        <v>148972.35999999999</v>
      </c>
      <c r="H71">
        <v>10</v>
      </c>
      <c r="I71">
        <v>69</v>
      </c>
    </row>
    <row r="72" spans="1:9" x14ac:dyDescent="0.25">
      <c r="A72" t="s">
        <v>97</v>
      </c>
      <c r="B72" t="s">
        <v>31</v>
      </c>
      <c r="C72" t="s">
        <v>20</v>
      </c>
      <c r="D72" t="s">
        <v>21</v>
      </c>
      <c r="E72" t="s">
        <v>17</v>
      </c>
      <c r="F72">
        <v>26</v>
      </c>
      <c r="G72">
        <v>53305.36</v>
      </c>
      <c r="H72">
        <v>6</v>
      </c>
      <c r="I72">
        <v>54</v>
      </c>
    </row>
    <row r="73" spans="1:9" x14ac:dyDescent="0.25">
      <c r="A73" t="s">
        <v>98</v>
      </c>
      <c r="B73" t="s">
        <v>31</v>
      </c>
      <c r="C73" t="s">
        <v>23</v>
      </c>
      <c r="D73" t="s">
        <v>26</v>
      </c>
      <c r="E73" t="s">
        <v>17</v>
      </c>
      <c r="F73">
        <v>49</v>
      </c>
      <c r="G73">
        <v>171752.86</v>
      </c>
      <c r="H73">
        <v>11</v>
      </c>
      <c r="I73">
        <v>89</v>
      </c>
    </row>
    <row r="74" spans="1:9" x14ac:dyDescent="0.25">
      <c r="A74" t="s">
        <v>99</v>
      </c>
      <c r="B74" t="s">
        <v>34</v>
      </c>
      <c r="C74" t="s">
        <v>11</v>
      </c>
      <c r="D74" t="s">
        <v>24</v>
      </c>
      <c r="E74" t="s">
        <v>13</v>
      </c>
      <c r="F74">
        <v>26</v>
      </c>
      <c r="G74">
        <v>174172.12</v>
      </c>
      <c r="H74">
        <v>25</v>
      </c>
      <c r="I74">
        <v>96</v>
      </c>
    </row>
    <row r="75" spans="1:9" x14ac:dyDescent="0.25">
      <c r="A75" t="s">
        <v>100</v>
      </c>
      <c r="B75" t="s">
        <v>15</v>
      </c>
      <c r="C75" t="s">
        <v>40</v>
      </c>
      <c r="D75" t="s">
        <v>12</v>
      </c>
      <c r="E75" t="s">
        <v>13</v>
      </c>
      <c r="F75">
        <v>35</v>
      </c>
      <c r="G75">
        <v>21592.68</v>
      </c>
      <c r="H75">
        <v>17</v>
      </c>
      <c r="I75">
        <v>51</v>
      </c>
    </row>
    <row r="76" spans="1:9" x14ac:dyDescent="0.25">
      <c r="A76" t="s">
        <v>101</v>
      </c>
      <c r="B76" t="s">
        <v>10</v>
      </c>
      <c r="C76" t="s">
        <v>23</v>
      </c>
      <c r="D76" t="s">
        <v>16</v>
      </c>
      <c r="E76" t="s">
        <v>17</v>
      </c>
      <c r="F76">
        <v>36</v>
      </c>
      <c r="G76">
        <v>62122.81</v>
      </c>
      <c r="H76">
        <v>25</v>
      </c>
      <c r="I76">
        <v>56</v>
      </c>
    </row>
    <row r="77" spans="1:9" x14ac:dyDescent="0.25">
      <c r="A77" t="s">
        <v>102</v>
      </c>
      <c r="B77" t="s">
        <v>19</v>
      </c>
      <c r="C77" t="s">
        <v>23</v>
      </c>
      <c r="D77" t="s">
        <v>26</v>
      </c>
      <c r="E77" t="s">
        <v>13</v>
      </c>
      <c r="F77">
        <v>77</v>
      </c>
      <c r="G77">
        <v>57122.79</v>
      </c>
      <c r="H77">
        <v>26</v>
      </c>
      <c r="I77">
        <v>49</v>
      </c>
    </row>
    <row r="78" spans="1:9" x14ac:dyDescent="0.25">
      <c r="A78" t="s">
        <v>103</v>
      </c>
      <c r="B78" t="s">
        <v>10</v>
      </c>
      <c r="C78" t="s">
        <v>23</v>
      </c>
      <c r="D78" t="s">
        <v>21</v>
      </c>
      <c r="E78" t="s">
        <v>17</v>
      </c>
      <c r="F78">
        <v>74</v>
      </c>
      <c r="G78">
        <v>19598.82</v>
      </c>
      <c r="H78">
        <v>27</v>
      </c>
      <c r="I78">
        <v>95</v>
      </c>
    </row>
    <row r="79" spans="1:9" x14ac:dyDescent="0.25">
      <c r="A79" t="s">
        <v>104</v>
      </c>
      <c r="B79" t="s">
        <v>31</v>
      </c>
      <c r="C79" t="s">
        <v>23</v>
      </c>
      <c r="D79" t="s">
        <v>26</v>
      </c>
      <c r="E79" t="s">
        <v>13</v>
      </c>
      <c r="F79">
        <v>45</v>
      </c>
      <c r="G79">
        <v>182710.63</v>
      </c>
      <c r="H79">
        <v>25</v>
      </c>
      <c r="I79">
        <v>41</v>
      </c>
    </row>
    <row r="80" spans="1:9" x14ac:dyDescent="0.25">
      <c r="A80" t="s">
        <v>105</v>
      </c>
      <c r="B80" t="s">
        <v>36</v>
      </c>
      <c r="C80" t="s">
        <v>40</v>
      </c>
      <c r="D80" t="s">
        <v>12</v>
      </c>
      <c r="E80" t="s">
        <v>17</v>
      </c>
      <c r="F80">
        <v>81</v>
      </c>
      <c r="G80">
        <v>169352.94</v>
      </c>
      <c r="H80">
        <v>27</v>
      </c>
      <c r="I80">
        <v>64</v>
      </c>
    </row>
    <row r="81" spans="1:9" x14ac:dyDescent="0.25">
      <c r="A81" t="s">
        <v>106</v>
      </c>
      <c r="B81" t="s">
        <v>15</v>
      </c>
      <c r="C81" t="s">
        <v>20</v>
      </c>
      <c r="D81" t="s">
        <v>16</v>
      </c>
      <c r="E81" t="s">
        <v>29</v>
      </c>
      <c r="F81">
        <v>84</v>
      </c>
      <c r="G81">
        <v>142801.03</v>
      </c>
      <c r="H81">
        <v>21</v>
      </c>
      <c r="I81">
        <v>70</v>
      </c>
    </row>
    <row r="82" spans="1:9" x14ac:dyDescent="0.25">
      <c r="A82" t="s">
        <v>107</v>
      </c>
      <c r="B82" t="s">
        <v>10</v>
      </c>
      <c r="C82" t="s">
        <v>20</v>
      </c>
      <c r="D82" t="s">
        <v>26</v>
      </c>
      <c r="E82" t="s">
        <v>13</v>
      </c>
      <c r="F82">
        <v>87</v>
      </c>
      <c r="G82">
        <v>94897.83</v>
      </c>
      <c r="H82">
        <v>5</v>
      </c>
      <c r="I82">
        <v>100</v>
      </c>
    </row>
    <row r="83" spans="1:9" x14ac:dyDescent="0.25">
      <c r="A83" t="s">
        <v>108</v>
      </c>
      <c r="B83" t="s">
        <v>34</v>
      </c>
      <c r="C83" t="s">
        <v>40</v>
      </c>
      <c r="D83" t="s">
        <v>12</v>
      </c>
      <c r="E83" t="s">
        <v>17</v>
      </c>
      <c r="F83">
        <v>62</v>
      </c>
      <c r="G83">
        <v>82806.399999999994</v>
      </c>
      <c r="H83">
        <v>13</v>
      </c>
      <c r="I83">
        <v>60</v>
      </c>
    </row>
    <row r="84" spans="1:9" x14ac:dyDescent="0.25">
      <c r="A84" t="s">
        <v>109</v>
      </c>
      <c r="B84" t="s">
        <v>10</v>
      </c>
      <c r="C84" t="s">
        <v>11</v>
      </c>
      <c r="D84" t="s">
        <v>12</v>
      </c>
      <c r="E84" t="s">
        <v>13</v>
      </c>
      <c r="F84">
        <v>52</v>
      </c>
      <c r="G84">
        <v>120033.47</v>
      </c>
      <c r="H84">
        <v>21</v>
      </c>
      <c r="I84">
        <v>40</v>
      </c>
    </row>
    <row r="85" spans="1:9" x14ac:dyDescent="0.25">
      <c r="A85" t="s">
        <v>110</v>
      </c>
      <c r="B85" t="s">
        <v>10</v>
      </c>
      <c r="C85" t="s">
        <v>11</v>
      </c>
      <c r="D85" t="s">
        <v>12</v>
      </c>
      <c r="E85" t="s">
        <v>29</v>
      </c>
      <c r="F85">
        <v>62</v>
      </c>
      <c r="G85">
        <v>184712</v>
      </c>
      <c r="H85">
        <v>20</v>
      </c>
      <c r="I85">
        <v>55</v>
      </c>
    </row>
    <row r="86" spans="1:9" x14ac:dyDescent="0.25">
      <c r="A86" t="s">
        <v>111</v>
      </c>
      <c r="B86" t="s">
        <v>34</v>
      </c>
      <c r="C86" t="s">
        <v>23</v>
      </c>
      <c r="D86" t="s">
        <v>16</v>
      </c>
      <c r="E86" t="s">
        <v>17</v>
      </c>
      <c r="F86">
        <v>77</v>
      </c>
      <c r="G86">
        <v>118243.2</v>
      </c>
      <c r="H86">
        <v>30</v>
      </c>
      <c r="I86">
        <v>99</v>
      </c>
    </row>
    <row r="87" spans="1:9" x14ac:dyDescent="0.25">
      <c r="A87" t="s">
        <v>112</v>
      </c>
      <c r="B87" t="s">
        <v>31</v>
      </c>
      <c r="C87" t="s">
        <v>40</v>
      </c>
      <c r="D87" t="s">
        <v>26</v>
      </c>
      <c r="E87" t="s">
        <v>17</v>
      </c>
      <c r="F87">
        <v>57</v>
      </c>
      <c r="G87">
        <v>96162.29</v>
      </c>
      <c r="H87">
        <v>1</v>
      </c>
      <c r="I87">
        <v>94</v>
      </c>
    </row>
    <row r="88" spans="1:9" x14ac:dyDescent="0.25">
      <c r="A88" t="s">
        <v>113</v>
      </c>
      <c r="B88" t="s">
        <v>10</v>
      </c>
      <c r="C88" t="s">
        <v>40</v>
      </c>
      <c r="D88" t="s">
        <v>12</v>
      </c>
      <c r="E88" t="s">
        <v>17</v>
      </c>
      <c r="F88">
        <v>52</v>
      </c>
      <c r="G88">
        <v>3926.03</v>
      </c>
      <c r="H88">
        <v>23</v>
      </c>
      <c r="I88">
        <v>100</v>
      </c>
    </row>
    <row r="89" spans="1:9" x14ac:dyDescent="0.25">
      <c r="A89" t="s">
        <v>114</v>
      </c>
      <c r="B89" t="s">
        <v>36</v>
      </c>
      <c r="C89" t="s">
        <v>20</v>
      </c>
      <c r="D89" t="s">
        <v>21</v>
      </c>
      <c r="E89" t="s">
        <v>17</v>
      </c>
      <c r="F89">
        <v>75</v>
      </c>
      <c r="G89">
        <v>184438.24</v>
      </c>
      <c r="H89">
        <v>24</v>
      </c>
      <c r="I89">
        <v>93</v>
      </c>
    </row>
    <row r="90" spans="1:9" x14ac:dyDescent="0.25">
      <c r="A90" t="s">
        <v>115</v>
      </c>
      <c r="B90" t="s">
        <v>15</v>
      </c>
      <c r="C90" t="s">
        <v>23</v>
      </c>
      <c r="D90" t="s">
        <v>24</v>
      </c>
      <c r="E90" t="s">
        <v>17</v>
      </c>
      <c r="F90">
        <v>65</v>
      </c>
      <c r="G90">
        <v>187255.3</v>
      </c>
      <c r="H90">
        <v>28</v>
      </c>
      <c r="I90">
        <v>90</v>
      </c>
    </row>
    <row r="91" spans="1:9" x14ac:dyDescent="0.25">
      <c r="A91" t="s">
        <v>116</v>
      </c>
      <c r="B91" t="s">
        <v>36</v>
      </c>
      <c r="C91" t="s">
        <v>23</v>
      </c>
      <c r="D91" t="s">
        <v>16</v>
      </c>
      <c r="E91" t="s">
        <v>17</v>
      </c>
      <c r="F91">
        <v>56</v>
      </c>
      <c r="G91">
        <v>169119.61</v>
      </c>
      <c r="H91">
        <v>6</v>
      </c>
      <c r="I91">
        <v>59</v>
      </c>
    </row>
    <row r="92" spans="1:9" x14ac:dyDescent="0.25">
      <c r="A92" t="s">
        <v>117</v>
      </c>
      <c r="B92" t="s">
        <v>36</v>
      </c>
      <c r="C92" t="s">
        <v>40</v>
      </c>
      <c r="D92" t="s">
        <v>16</v>
      </c>
      <c r="E92" t="s">
        <v>13</v>
      </c>
      <c r="F92">
        <v>89</v>
      </c>
      <c r="G92">
        <v>107499.28</v>
      </c>
      <c r="H92">
        <v>11</v>
      </c>
      <c r="I92">
        <v>63</v>
      </c>
    </row>
    <row r="93" spans="1:9" x14ac:dyDescent="0.25">
      <c r="A93" t="s">
        <v>118</v>
      </c>
      <c r="B93" t="s">
        <v>19</v>
      </c>
      <c r="C93" t="s">
        <v>11</v>
      </c>
      <c r="D93" t="s">
        <v>16</v>
      </c>
      <c r="E93" t="s">
        <v>29</v>
      </c>
      <c r="F93">
        <v>83</v>
      </c>
      <c r="G93">
        <v>154395.60999999999</v>
      </c>
      <c r="H93">
        <v>21</v>
      </c>
      <c r="I93">
        <v>69</v>
      </c>
    </row>
    <row r="94" spans="1:9" x14ac:dyDescent="0.25">
      <c r="A94" t="s">
        <v>119</v>
      </c>
      <c r="B94" t="s">
        <v>19</v>
      </c>
      <c r="C94" t="s">
        <v>40</v>
      </c>
      <c r="D94" t="s">
        <v>24</v>
      </c>
      <c r="E94" t="s">
        <v>17</v>
      </c>
      <c r="F94">
        <v>29</v>
      </c>
      <c r="G94">
        <v>181388.33</v>
      </c>
      <c r="H94">
        <v>19</v>
      </c>
      <c r="I94">
        <v>99</v>
      </c>
    </row>
    <row r="95" spans="1:9" x14ac:dyDescent="0.25">
      <c r="A95" t="s">
        <v>120</v>
      </c>
      <c r="B95" t="s">
        <v>34</v>
      </c>
      <c r="C95" t="s">
        <v>23</v>
      </c>
      <c r="D95" t="s">
        <v>16</v>
      </c>
      <c r="E95" t="s">
        <v>17</v>
      </c>
      <c r="F95">
        <v>65</v>
      </c>
      <c r="G95">
        <v>129269.31</v>
      </c>
      <c r="H95">
        <v>26</v>
      </c>
      <c r="I95">
        <v>60</v>
      </c>
    </row>
    <row r="96" spans="1:9" x14ac:dyDescent="0.25">
      <c r="A96" t="s">
        <v>121</v>
      </c>
      <c r="B96" t="s">
        <v>15</v>
      </c>
      <c r="C96" t="s">
        <v>11</v>
      </c>
      <c r="D96" t="s">
        <v>24</v>
      </c>
      <c r="E96" t="s">
        <v>29</v>
      </c>
      <c r="F96">
        <v>81</v>
      </c>
      <c r="G96">
        <v>80069.45</v>
      </c>
      <c r="H96">
        <v>23</v>
      </c>
      <c r="I96">
        <v>76</v>
      </c>
    </row>
    <row r="97" spans="1:9" x14ac:dyDescent="0.25">
      <c r="A97" t="s">
        <v>122</v>
      </c>
      <c r="B97" t="s">
        <v>34</v>
      </c>
      <c r="C97" t="s">
        <v>40</v>
      </c>
      <c r="D97" t="s">
        <v>21</v>
      </c>
      <c r="E97" t="s">
        <v>29</v>
      </c>
      <c r="F97">
        <v>41</v>
      </c>
      <c r="G97">
        <v>170185.85</v>
      </c>
      <c r="H97">
        <v>26</v>
      </c>
      <c r="I97">
        <v>47</v>
      </c>
    </row>
    <row r="98" spans="1:9" x14ac:dyDescent="0.25">
      <c r="A98" t="s">
        <v>123</v>
      </c>
      <c r="B98" t="s">
        <v>19</v>
      </c>
      <c r="C98" t="s">
        <v>20</v>
      </c>
      <c r="D98" t="s">
        <v>16</v>
      </c>
      <c r="E98" t="s">
        <v>29</v>
      </c>
      <c r="F98">
        <v>9</v>
      </c>
      <c r="G98">
        <v>67852.27</v>
      </c>
      <c r="H98">
        <v>10</v>
      </c>
      <c r="I98">
        <v>56</v>
      </c>
    </row>
    <row r="99" spans="1:9" x14ac:dyDescent="0.25">
      <c r="A99" t="s">
        <v>124</v>
      </c>
      <c r="B99" t="s">
        <v>31</v>
      </c>
      <c r="C99" t="s">
        <v>11</v>
      </c>
      <c r="D99" t="s">
        <v>21</v>
      </c>
      <c r="E99" t="s">
        <v>13</v>
      </c>
      <c r="F99">
        <v>2</v>
      </c>
      <c r="G99">
        <v>179245.98</v>
      </c>
      <c r="H99">
        <v>26</v>
      </c>
      <c r="I99">
        <v>69</v>
      </c>
    </row>
    <row r="100" spans="1:9" x14ac:dyDescent="0.25">
      <c r="A100" t="s">
        <v>125</v>
      </c>
      <c r="B100" t="s">
        <v>31</v>
      </c>
      <c r="C100" t="s">
        <v>20</v>
      </c>
      <c r="D100" t="s">
        <v>26</v>
      </c>
      <c r="E100" t="s">
        <v>13</v>
      </c>
      <c r="F100">
        <v>64</v>
      </c>
      <c r="G100">
        <v>133475.6</v>
      </c>
      <c r="H100">
        <v>24</v>
      </c>
      <c r="I100">
        <v>69</v>
      </c>
    </row>
    <row r="101" spans="1:9" x14ac:dyDescent="0.25">
      <c r="A101" t="s">
        <v>126</v>
      </c>
      <c r="B101" t="s">
        <v>10</v>
      </c>
      <c r="C101" t="s">
        <v>23</v>
      </c>
      <c r="D101" t="s">
        <v>21</v>
      </c>
      <c r="E101" t="s">
        <v>13</v>
      </c>
      <c r="F101">
        <v>80</v>
      </c>
      <c r="G101">
        <v>85551.05</v>
      </c>
      <c r="H101">
        <v>24</v>
      </c>
      <c r="I101">
        <v>99</v>
      </c>
    </row>
    <row r="102" spans="1:9" x14ac:dyDescent="0.25">
      <c r="A102" t="s">
        <v>127</v>
      </c>
      <c r="B102" t="s">
        <v>10</v>
      </c>
      <c r="C102" t="s">
        <v>20</v>
      </c>
      <c r="D102" t="s">
        <v>26</v>
      </c>
      <c r="E102" t="s">
        <v>13</v>
      </c>
      <c r="F102">
        <v>34</v>
      </c>
      <c r="G102">
        <v>89194.25</v>
      </c>
      <c r="H102">
        <v>16</v>
      </c>
      <c r="I102">
        <v>69</v>
      </c>
    </row>
    <row r="103" spans="1:9" x14ac:dyDescent="0.25">
      <c r="A103" t="s">
        <v>128</v>
      </c>
      <c r="B103" t="s">
        <v>36</v>
      </c>
      <c r="C103" t="s">
        <v>20</v>
      </c>
      <c r="D103" t="s">
        <v>12</v>
      </c>
      <c r="E103" t="s">
        <v>13</v>
      </c>
      <c r="F103">
        <v>21</v>
      </c>
      <c r="G103">
        <v>145196.78</v>
      </c>
      <c r="H103">
        <v>17</v>
      </c>
      <c r="I103">
        <v>84</v>
      </c>
    </row>
    <row r="104" spans="1:9" x14ac:dyDescent="0.25">
      <c r="A104" t="s">
        <v>129</v>
      </c>
      <c r="B104" t="s">
        <v>31</v>
      </c>
      <c r="C104" t="s">
        <v>20</v>
      </c>
      <c r="D104" t="s">
        <v>24</v>
      </c>
      <c r="E104" t="s">
        <v>17</v>
      </c>
      <c r="F104">
        <v>55</v>
      </c>
      <c r="G104">
        <v>124626.18</v>
      </c>
      <c r="H104">
        <v>21</v>
      </c>
      <c r="I104">
        <v>87</v>
      </c>
    </row>
    <row r="105" spans="1:9" x14ac:dyDescent="0.25">
      <c r="A105" t="s">
        <v>130</v>
      </c>
      <c r="B105" t="s">
        <v>31</v>
      </c>
      <c r="C105" t="s">
        <v>40</v>
      </c>
      <c r="D105" t="s">
        <v>24</v>
      </c>
      <c r="E105" t="s">
        <v>17</v>
      </c>
      <c r="F105">
        <v>7</v>
      </c>
      <c r="G105">
        <v>127179.51</v>
      </c>
      <c r="H105">
        <v>1</v>
      </c>
      <c r="I105">
        <v>40</v>
      </c>
    </row>
    <row r="106" spans="1:9" x14ac:dyDescent="0.25">
      <c r="A106" t="s">
        <v>131</v>
      </c>
      <c r="B106" t="s">
        <v>34</v>
      </c>
      <c r="C106" t="s">
        <v>11</v>
      </c>
      <c r="D106" t="s">
        <v>21</v>
      </c>
      <c r="E106" t="s">
        <v>17</v>
      </c>
      <c r="F106">
        <v>12</v>
      </c>
      <c r="G106">
        <v>40948.97</v>
      </c>
      <c r="H106">
        <v>26</v>
      </c>
      <c r="I106">
        <v>92</v>
      </c>
    </row>
    <row r="107" spans="1:9" x14ac:dyDescent="0.25">
      <c r="A107" t="s">
        <v>132</v>
      </c>
      <c r="B107" t="s">
        <v>34</v>
      </c>
      <c r="C107" t="s">
        <v>11</v>
      </c>
      <c r="D107" t="s">
        <v>26</v>
      </c>
      <c r="E107" t="s">
        <v>17</v>
      </c>
      <c r="F107">
        <v>44</v>
      </c>
      <c r="G107">
        <v>168565.89</v>
      </c>
      <c r="H107">
        <v>27</v>
      </c>
      <c r="I107">
        <v>41</v>
      </c>
    </row>
    <row r="108" spans="1:9" x14ac:dyDescent="0.25">
      <c r="A108" t="s">
        <v>133</v>
      </c>
      <c r="B108" t="s">
        <v>31</v>
      </c>
      <c r="C108" t="s">
        <v>40</v>
      </c>
      <c r="D108" t="s">
        <v>16</v>
      </c>
      <c r="E108" t="s">
        <v>29</v>
      </c>
      <c r="F108">
        <v>60</v>
      </c>
      <c r="G108">
        <v>57461.93</v>
      </c>
      <c r="H108">
        <v>17</v>
      </c>
      <c r="I108">
        <v>72</v>
      </c>
    </row>
    <row r="109" spans="1:9" x14ac:dyDescent="0.25">
      <c r="A109" t="s">
        <v>134</v>
      </c>
      <c r="B109" t="s">
        <v>19</v>
      </c>
      <c r="C109" t="s">
        <v>23</v>
      </c>
      <c r="D109" t="s">
        <v>26</v>
      </c>
      <c r="E109" t="s">
        <v>13</v>
      </c>
      <c r="F109">
        <v>17</v>
      </c>
      <c r="G109">
        <v>177781.26</v>
      </c>
      <c r="H109">
        <v>18</v>
      </c>
      <c r="I109">
        <v>62</v>
      </c>
    </row>
    <row r="110" spans="1:9" x14ac:dyDescent="0.25">
      <c r="A110" t="s">
        <v>135</v>
      </c>
      <c r="B110" t="s">
        <v>36</v>
      </c>
      <c r="C110" t="s">
        <v>40</v>
      </c>
      <c r="D110" t="s">
        <v>26</v>
      </c>
      <c r="E110" t="s">
        <v>17</v>
      </c>
      <c r="F110">
        <v>22</v>
      </c>
      <c r="G110">
        <v>187260.87</v>
      </c>
      <c r="H110">
        <v>27</v>
      </c>
      <c r="I110">
        <v>43</v>
      </c>
    </row>
    <row r="111" spans="1:9" x14ac:dyDescent="0.25">
      <c r="A111" t="s">
        <v>136</v>
      </c>
      <c r="B111" t="s">
        <v>31</v>
      </c>
      <c r="C111" t="s">
        <v>40</v>
      </c>
      <c r="D111" t="s">
        <v>21</v>
      </c>
      <c r="E111" t="s">
        <v>13</v>
      </c>
      <c r="F111">
        <v>21</v>
      </c>
      <c r="G111">
        <v>6108.57</v>
      </c>
      <c r="H111">
        <v>1</v>
      </c>
      <c r="I111">
        <v>50</v>
      </c>
    </row>
    <row r="112" spans="1:9" x14ac:dyDescent="0.25">
      <c r="A112" t="s">
        <v>137</v>
      </c>
      <c r="B112" t="s">
        <v>10</v>
      </c>
      <c r="C112" t="s">
        <v>20</v>
      </c>
      <c r="D112" t="s">
        <v>16</v>
      </c>
      <c r="E112" t="s">
        <v>29</v>
      </c>
      <c r="F112">
        <v>51</v>
      </c>
      <c r="G112">
        <v>67294.53</v>
      </c>
      <c r="H112">
        <v>26</v>
      </c>
      <c r="I112">
        <v>86</v>
      </c>
    </row>
    <row r="113" spans="1:9" x14ac:dyDescent="0.25">
      <c r="A113" t="s">
        <v>138</v>
      </c>
      <c r="B113" t="s">
        <v>31</v>
      </c>
      <c r="C113" t="s">
        <v>23</v>
      </c>
      <c r="D113" t="s">
        <v>21</v>
      </c>
      <c r="E113" t="s">
        <v>17</v>
      </c>
      <c r="F113">
        <v>84</v>
      </c>
      <c r="G113">
        <v>53760.55</v>
      </c>
      <c r="H113">
        <v>27</v>
      </c>
      <c r="I113">
        <v>53</v>
      </c>
    </row>
    <row r="114" spans="1:9" x14ac:dyDescent="0.25">
      <c r="A114" t="s">
        <v>139</v>
      </c>
      <c r="B114" t="s">
        <v>19</v>
      </c>
      <c r="C114" t="s">
        <v>40</v>
      </c>
      <c r="D114" t="s">
        <v>16</v>
      </c>
      <c r="E114" t="s">
        <v>29</v>
      </c>
      <c r="F114">
        <v>77</v>
      </c>
      <c r="G114">
        <v>77017.679999999993</v>
      </c>
      <c r="H114">
        <v>8</v>
      </c>
      <c r="I114">
        <v>61</v>
      </c>
    </row>
    <row r="115" spans="1:9" x14ac:dyDescent="0.25">
      <c r="A115" t="s">
        <v>140</v>
      </c>
      <c r="B115" t="s">
        <v>36</v>
      </c>
      <c r="C115" t="s">
        <v>40</v>
      </c>
      <c r="D115" t="s">
        <v>24</v>
      </c>
      <c r="E115" t="s">
        <v>13</v>
      </c>
      <c r="F115">
        <v>37</v>
      </c>
      <c r="G115">
        <v>98340.86</v>
      </c>
      <c r="H115">
        <v>17</v>
      </c>
      <c r="I115">
        <v>63</v>
      </c>
    </row>
    <row r="116" spans="1:9" x14ac:dyDescent="0.25">
      <c r="A116" t="s">
        <v>141</v>
      </c>
      <c r="B116" t="s">
        <v>31</v>
      </c>
      <c r="C116" t="s">
        <v>20</v>
      </c>
      <c r="D116" t="s">
        <v>24</v>
      </c>
      <c r="E116" t="s">
        <v>29</v>
      </c>
      <c r="F116">
        <v>14</v>
      </c>
      <c r="G116">
        <v>85215.46</v>
      </c>
      <c r="H116">
        <v>1</v>
      </c>
      <c r="I116">
        <v>85</v>
      </c>
    </row>
    <row r="117" spans="1:9" x14ac:dyDescent="0.25">
      <c r="A117" t="s">
        <v>142</v>
      </c>
      <c r="B117" t="s">
        <v>15</v>
      </c>
      <c r="C117" t="s">
        <v>23</v>
      </c>
      <c r="D117" t="s">
        <v>26</v>
      </c>
      <c r="E117" t="s">
        <v>29</v>
      </c>
      <c r="F117">
        <v>4</v>
      </c>
      <c r="G117">
        <v>43531.31</v>
      </c>
      <c r="H117">
        <v>16</v>
      </c>
      <c r="I117">
        <v>91</v>
      </c>
    </row>
    <row r="118" spans="1:9" x14ac:dyDescent="0.25">
      <c r="A118" t="s">
        <v>143</v>
      </c>
      <c r="B118" t="s">
        <v>19</v>
      </c>
      <c r="C118" t="s">
        <v>23</v>
      </c>
      <c r="D118" t="s">
        <v>21</v>
      </c>
      <c r="E118" t="s">
        <v>17</v>
      </c>
      <c r="F118">
        <v>57</v>
      </c>
      <c r="G118">
        <v>45940.98</v>
      </c>
      <c r="H118">
        <v>24</v>
      </c>
      <c r="I118">
        <v>94</v>
      </c>
    </row>
    <row r="119" spans="1:9" x14ac:dyDescent="0.25">
      <c r="A119" t="s">
        <v>144</v>
      </c>
      <c r="B119" t="s">
        <v>31</v>
      </c>
      <c r="C119" t="s">
        <v>11</v>
      </c>
      <c r="D119" t="s">
        <v>24</v>
      </c>
      <c r="E119" t="s">
        <v>17</v>
      </c>
      <c r="F119">
        <v>25</v>
      </c>
      <c r="G119">
        <v>30699.53</v>
      </c>
      <c r="H119">
        <v>27</v>
      </c>
      <c r="I119">
        <v>63</v>
      </c>
    </row>
    <row r="120" spans="1:9" x14ac:dyDescent="0.25">
      <c r="A120" t="s">
        <v>145</v>
      </c>
      <c r="B120" t="s">
        <v>19</v>
      </c>
      <c r="C120" t="s">
        <v>20</v>
      </c>
      <c r="D120" t="s">
        <v>16</v>
      </c>
      <c r="E120" t="s">
        <v>29</v>
      </c>
      <c r="F120">
        <v>62</v>
      </c>
      <c r="G120">
        <v>162503.53</v>
      </c>
      <c r="H120">
        <v>3</v>
      </c>
      <c r="I120">
        <v>46</v>
      </c>
    </row>
    <row r="121" spans="1:9" x14ac:dyDescent="0.25">
      <c r="A121" t="s">
        <v>146</v>
      </c>
      <c r="B121" t="s">
        <v>15</v>
      </c>
      <c r="C121" t="s">
        <v>20</v>
      </c>
      <c r="D121" t="s">
        <v>12</v>
      </c>
      <c r="E121" t="s">
        <v>29</v>
      </c>
      <c r="F121">
        <v>89</v>
      </c>
      <c r="G121">
        <v>144601.9</v>
      </c>
      <c r="H121">
        <v>14</v>
      </c>
      <c r="I121">
        <v>66</v>
      </c>
    </row>
    <row r="122" spans="1:9" x14ac:dyDescent="0.25">
      <c r="A122" t="s">
        <v>147</v>
      </c>
      <c r="B122" t="s">
        <v>34</v>
      </c>
      <c r="C122" t="s">
        <v>23</v>
      </c>
      <c r="D122" t="s">
        <v>24</v>
      </c>
      <c r="E122" t="s">
        <v>13</v>
      </c>
      <c r="F122">
        <v>13</v>
      </c>
      <c r="G122">
        <v>75183.58</v>
      </c>
      <c r="H122">
        <v>5</v>
      </c>
      <c r="I122">
        <v>66</v>
      </c>
    </row>
    <row r="123" spans="1:9" x14ac:dyDescent="0.25">
      <c r="A123" t="s">
        <v>148</v>
      </c>
      <c r="B123" t="s">
        <v>31</v>
      </c>
      <c r="C123" t="s">
        <v>20</v>
      </c>
      <c r="D123" t="s">
        <v>26</v>
      </c>
      <c r="E123" t="s">
        <v>29</v>
      </c>
      <c r="F123">
        <v>53</v>
      </c>
      <c r="G123">
        <v>50636.82</v>
      </c>
      <c r="H123">
        <v>21</v>
      </c>
      <c r="I123">
        <v>41</v>
      </c>
    </row>
    <row r="124" spans="1:9" x14ac:dyDescent="0.25">
      <c r="A124" t="s">
        <v>149</v>
      </c>
      <c r="B124" t="s">
        <v>36</v>
      </c>
      <c r="C124" t="s">
        <v>20</v>
      </c>
      <c r="D124" t="s">
        <v>24</v>
      </c>
      <c r="E124" t="s">
        <v>17</v>
      </c>
      <c r="F124">
        <v>66</v>
      </c>
      <c r="G124">
        <v>181337.2</v>
      </c>
      <c r="H124">
        <v>14</v>
      </c>
      <c r="I124">
        <v>86</v>
      </c>
    </row>
    <row r="125" spans="1:9" x14ac:dyDescent="0.25">
      <c r="A125" t="s">
        <v>150</v>
      </c>
      <c r="B125" t="s">
        <v>36</v>
      </c>
      <c r="C125" t="s">
        <v>23</v>
      </c>
      <c r="D125" t="s">
        <v>26</v>
      </c>
      <c r="E125" t="s">
        <v>13</v>
      </c>
      <c r="F125">
        <v>70</v>
      </c>
      <c r="G125">
        <v>134527.44</v>
      </c>
      <c r="H125">
        <v>11</v>
      </c>
      <c r="I125">
        <v>67</v>
      </c>
    </row>
    <row r="126" spans="1:9" x14ac:dyDescent="0.25">
      <c r="A126" t="s">
        <v>151</v>
      </c>
      <c r="B126" t="s">
        <v>15</v>
      </c>
      <c r="C126" t="s">
        <v>11</v>
      </c>
      <c r="D126" t="s">
        <v>24</v>
      </c>
      <c r="E126" t="s">
        <v>13</v>
      </c>
      <c r="F126">
        <v>39</v>
      </c>
      <c r="G126">
        <v>46214.080000000002</v>
      </c>
      <c r="H126">
        <v>14</v>
      </c>
      <c r="I126">
        <v>57</v>
      </c>
    </row>
    <row r="127" spans="1:9" x14ac:dyDescent="0.25">
      <c r="A127" t="s">
        <v>152</v>
      </c>
      <c r="B127" t="s">
        <v>10</v>
      </c>
      <c r="C127" t="s">
        <v>23</v>
      </c>
      <c r="D127" t="s">
        <v>21</v>
      </c>
      <c r="E127" t="s">
        <v>13</v>
      </c>
      <c r="F127">
        <v>59</v>
      </c>
      <c r="G127">
        <v>178181.97</v>
      </c>
      <c r="H127">
        <v>10</v>
      </c>
      <c r="I127">
        <v>86</v>
      </c>
    </row>
    <row r="128" spans="1:9" x14ac:dyDescent="0.25">
      <c r="A128" t="s">
        <v>153</v>
      </c>
      <c r="B128" t="s">
        <v>31</v>
      </c>
      <c r="C128" t="s">
        <v>23</v>
      </c>
      <c r="D128" t="s">
        <v>16</v>
      </c>
      <c r="E128" t="s">
        <v>13</v>
      </c>
      <c r="F128">
        <v>46</v>
      </c>
      <c r="G128">
        <v>93454.58</v>
      </c>
      <c r="H128">
        <v>27</v>
      </c>
      <c r="I128">
        <v>43</v>
      </c>
    </row>
    <row r="129" spans="1:9" x14ac:dyDescent="0.25">
      <c r="A129" t="s">
        <v>154</v>
      </c>
      <c r="B129" t="s">
        <v>15</v>
      </c>
      <c r="C129" t="s">
        <v>11</v>
      </c>
      <c r="D129" t="s">
        <v>26</v>
      </c>
      <c r="E129" t="s">
        <v>17</v>
      </c>
      <c r="F129">
        <v>37</v>
      </c>
      <c r="G129">
        <v>32384.55</v>
      </c>
      <c r="H129">
        <v>6</v>
      </c>
      <c r="I129">
        <v>59</v>
      </c>
    </row>
    <row r="130" spans="1:9" x14ac:dyDescent="0.25">
      <c r="A130" t="s">
        <v>155</v>
      </c>
      <c r="B130" t="s">
        <v>19</v>
      </c>
      <c r="C130" t="s">
        <v>23</v>
      </c>
      <c r="D130" t="s">
        <v>24</v>
      </c>
      <c r="E130" t="s">
        <v>13</v>
      </c>
      <c r="F130">
        <v>14</v>
      </c>
      <c r="G130">
        <v>124568.98</v>
      </c>
      <c r="H130">
        <v>15</v>
      </c>
      <c r="I130">
        <v>50</v>
      </c>
    </row>
    <row r="131" spans="1:9" x14ac:dyDescent="0.25">
      <c r="A131" t="s">
        <v>156</v>
      </c>
      <c r="B131" t="s">
        <v>10</v>
      </c>
      <c r="C131" t="s">
        <v>20</v>
      </c>
      <c r="D131" t="s">
        <v>24</v>
      </c>
      <c r="E131" t="s">
        <v>13</v>
      </c>
      <c r="F131">
        <v>83</v>
      </c>
      <c r="G131">
        <v>194632.26</v>
      </c>
      <c r="H131">
        <v>28</v>
      </c>
      <c r="I131">
        <v>76</v>
      </c>
    </row>
    <row r="132" spans="1:9" x14ac:dyDescent="0.25">
      <c r="A132" t="s">
        <v>157</v>
      </c>
      <c r="B132" t="s">
        <v>36</v>
      </c>
      <c r="C132" t="s">
        <v>40</v>
      </c>
      <c r="D132" t="s">
        <v>21</v>
      </c>
      <c r="E132" t="s">
        <v>29</v>
      </c>
      <c r="F132">
        <v>7</v>
      </c>
      <c r="G132">
        <v>9078.43</v>
      </c>
      <c r="H132">
        <v>16</v>
      </c>
      <c r="I132">
        <v>76</v>
      </c>
    </row>
    <row r="133" spans="1:9" x14ac:dyDescent="0.25">
      <c r="A133" t="s">
        <v>158</v>
      </c>
      <c r="B133" t="s">
        <v>10</v>
      </c>
      <c r="C133" t="s">
        <v>11</v>
      </c>
      <c r="D133" t="s">
        <v>21</v>
      </c>
      <c r="E133" t="s">
        <v>13</v>
      </c>
      <c r="F133">
        <v>44</v>
      </c>
      <c r="G133">
        <v>162582.18</v>
      </c>
      <c r="H133">
        <v>26</v>
      </c>
      <c r="I133">
        <v>81</v>
      </c>
    </row>
    <row r="134" spans="1:9" x14ac:dyDescent="0.25">
      <c r="A134" t="s">
        <v>159</v>
      </c>
      <c r="B134" t="s">
        <v>34</v>
      </c>
      <c r="C134" t="s">
        <v>20</v>
      </c>
      <c r="D134" t="s">
        <v>24</v>
      </c>
      <c r="E134" t="s">
        <v>13</v>
      </c>
      <c r="F134">
        <v>55</v>
      </c>
      <c r="G134">
        <v>198595.82</v>
      </c>
      <c r="H134">
        <v>27</v>
      </c>
      <c r="I134">
        <v>59</v>
      </c>
    </row>
    <row r="135" spans="1:9" x14ac:dyDescent="0.25">
      <c r="A135" t="s">
        <v>160</v>
      </c>
      <c r="B135" t="s">
        <v>31</v>
      </c>
      <c r="C135" t="s">
        <v>11</v>
      </c>
      <c r="D135" t="s">
        <v>26</v>
      </c>
      <c r="E135" t="s">
        <v>13</v>
      </c>
      <c r="F135">
        <v>76</v>
      </c>
      <c r="G135">
        <v>77424.33</v>
      </c>
      <c r="H135">
        <v>13</v>
      </c>
      <c r="I135">
        <v>60</v>
      </c>
    </row>
    <row r="136" spans="1:9" x14ac:dyDescent="0.25">
      <c r="A136" t="s">
        <v>161</v>
      </c>
      <c r="B136" t="s">
        <v>19</v>
      </c>
      <c r="C136" t="s">
        <v>20</v>
      </c>
      <c r="D136" t="s">
        <v>12</v>
      </c>
      <c r="E136" t="s">
        <v>17</v>
      </c>
      <c r="F136">
        <v>61</v>
      </c>
      <c r="G136">
        <v>57624.09</v>
      </c>
      <c r="H136">
        <v>13</v>
      </c>
      <c r="I136">
        <v>61</v>
      </c>
    </row>
    <row r="137" spans="1:9" x14ac:dyDescent="0.25">
      <c r="A137" t="s">
        <v>162</v>
      </c>
      <c r="B137" t="s">
        <v>34</v>
      </c>
      <c r="C137" t="s">
        <v>20</v>
      </c>
      <c r="D137" t="s">
        <v>16</v>
      </c>
      <c r="E137" t="s">
        <v>17</v>
      </c>
      <c r="F137">
        <v>74</v>
      </c>
      <c r="G137">
        <v>41975.91</v>
      </c>
      <c r="H137">
        <v>8</v>
      </c>
      <c r="I137">
        <v>71</v>
      </c>
    </row>
    <row r="138" spans="1:9" x14ac:dyDescent="0.25">
      <c r="A138" t="s">
        <v>163</v>
      </c>
      <c r="B138" t="s">
        <v>15</v>
      </c>
      <c r="C138" t="s">
        <v>11</v>
      </c>
      <c r="D138" t="s">
        <v>12</v>
      </c>
      <c r="E138" t="s">
        <v>17</v>
      </c>
      <c r="F138">
        <v>71</v>
      </c>
      <c r="G138">
        <v>88656.69</v>
      </c>
      <c r="H138">
        <v>22</v>
      </c>
      <c r="I138">
        <v>44</v>
      </c>
    </row>
    <row r="139" spans="1:9" x14ac:dyDescent="0.25">
      <c r="A139" t="s">
        <v>164</v>
      </c>
      <c r="B139" t="s">
        <v>34</v>
      </c>
      <c r="C139" t="s">
        <v>40</v>
      </c>
      <c r="D139" t="s">
        <v>16</v>
      </c>
      <c r="E139" t="s">
        <v>13</v>
      </c>
      <c r="F139">
        <v>25</v>
      </c>
      <c r="G139">
        <v>107845.72</v>
      </c>
      <c r="H139">
        <v>17</v>
      </c>
      <c r="I139">
        <v>77</v>
      </c>
    </row>
    <row r="140" spans="1:9" x14ac:dyDescent="0.25">
      <c r="A140" t="s">
        <v>165</v>
      </c>
      <c r="B140" t="s">
        <v>34</v>
      </c>
      <c r="C140" t="s">
        <v>20</v>
      </c>
      <c r="D140" t="s">
        <v>12</v>
      </c>
      <c r="E140" t="s">
        <v>29</v>
      </c>
      <c r="F140">
        <v>4</v>
      </c>
      <c r="G140">
        <v>146353.65</v>
      </c>
      <c r="H140">
        <v>27</v>
      </c>
      <c r="I140">
        <v>87</v>
      </c>
    </row>
    <row r="141" spans="1:9" x14ac:dyDescent="0.25">
      <c r="A141" t="s">
        <v>166</v>
      </c>
      <c r="B141" t="s">
        <v>36</v>
      </c>
      <c r="C141" t="s">
        <v>11</v>
      </c>
      <c r="D141" t="s">
        <v>21</v>
      </c>
      <c r="E141" t="s">
        <v>29</v>
      </c>
      <c r="F141">
        <v>23</v>
      </c>
      <c r="G141">
        <v>31910.95</v>
      </c>
      <c r="H141">
        <v>20</v>
      </c>
      <c r="I141">
        <v>48</v>
      </c>
    </row>
    <row r="142" spans="1:9" x14ac:dyDescent="0.25">
      <c r="A142" t="s">
        <v>167</v>
      </c>
      <c r="B142" t="s">
        <v>31</v>
      </c>
      <c r="C142" t="s">
        <v>23</v>
      </c>
      <c r="D142" t="s">
        <v>26</v>
      </c>
      <c r="E142" t="s">
        <v>13</v>
      </c>
      <c r="F142">
        <v>18</v>
      </c>
      <c r="G142">
        <v>178126.98</v>
      </c>
      <c r="H142">
        <v>19</v>
      </c>
      <c r="I142">
        <v>51</v>
      </c>
    </row>
    <row r="143" spans="1:9" x14ac:dyDescent="0.25">
      <c r="A143" t="s">
        <v>168</v>
      </c>
      <c r="B143" t="s">
        <v>10</v>
      </c>
      <c r="C143" t="s">
        <v>23</v>
      </c>
      <c r="D143" t="s">
        <v>12</v>
      </c>
      <c r="E143" t="s">
        <v>17</v>
      </c>
      <c r="F143">
        <v>6</v>
      </c>
      <c r="G143">
        <v>34590.370000000003</v>
      </c>
      <c r="H143">
        <v>26</v>
      </c>
      <c r="I143">
        <v>84</v>
      </c>
    </row>
    <row r="144" spans="1:9" x14ac:dyDescent="0.25">
      <c r="A144" t="s">
        <v>169</v>
      </c>
      <c r="B144" t="s">
        <v>19</v>
      </c>
      <c r="C144" t="s">
        <v>11</v>
      </c>
      <c r="D144" t="s">
        <v>26</v>
      </c>
      <c r="E144" t="s">
        <v>17</v>
      </c>
      <c r="F144">
        <v>63</v>
      </c>
      <c r="G144">
        <v>30703.38</v>
      </c>
      <c r="H144">
        <v>17</v>
      </c>
      <c r="I144">
        <v>92</v>
      </c>
    </row>
    <row r="145" spans="1:9" x14ac:dyDescent="0.25">
      <c r="A145" t="s">
        <v>170</v>
      </c>
      <c r="B145" t="s">
        <v>10</v>
      </c>
      <c r="C145" t="s">
        <v>23</v>
      </c>
      <c r="D145" t="s">
        <v>12</v>
      </c>
      <c r="E145" t="s">
        <v>13</v>
      </c>
      <c r="F145">
        <v>45</v>
      </c>
      <c r="G145">
        <v>119457.25</v>
      </c>
      <c r="H145">
        <v>29</v>
      </c>
      <c r="I145">
        <v>92</v>
      </c>
    </row>
    <row r="146" spans="1:9" x14ac:dyDescent="0.25">
      <c r="A146" t="s">
        <v>171</v>
      </c>
      <c r="B146" t="s">
        <v>10</v>
      </c>
      <c r="C146" t="s">
        <v>20</v>
      </c>
      <c r="D146" t="s">
        <v>21</v>
      </c>
      <c r="E146" t="s">
        <v>13</v>
      </c>
      <c r="F146">
        <v>72</v>
      </c>
      <c r="G146">
        <v>50196.82</v>
      </c>
      <c r="H146">
        <v>29</v>
      </c>
      <c r="I146">
        <v>59</v>
      </c>
    </row>
    <row r="147" spans="1:9" x14ac:dyDescent="0.25">
      <c r="A147" t="s">
        <v>172</v>
      </c>
      <c r="B147" t="s">
        <v>19</v>
      </c>
      <c r="C147" t="s">
        <v>40</v>
      </c>
      <c r="D147" t="s">
        <v>26</v>
      </c>
      <c r="E147" t="s">
        <v>13</v>
      </c>
      <c r="F147">
        <v>1</v>
      </c>
      <c r="G147">
        <v>81244.61</v>
      </c>
      <c r="H147">
        <v>26</v>
      </c>
      <c r="I147">
        <v>41</v>
      </c>
    </row>
    <row r="148" spans="1:9" x14ac:dyDescent="0.25">
      <c r="A148" t="s">
        <v>173</v>
      </c>
      <c r="B148" t="s">
        <v>10</v>
      </c>
      <c r="C148" t="s">
        <v>11</v>
      </c>
      <c r="D148" t="s">
        <v>16</v>
      </c>
      <c r="E148" t="s">
        <v>17</v>
      </c>
      <c r="F148">
        <v>18</v>
      </c>
      <c r="G148">
        <v>166033.43</v>
      </c>
      <c r="H148">
        <v>25</v>
      </c>
      <c r="I148">
        <v>53</v>
      </c>
    </row>
    <row r="149" spans="1:9" x14ac:dyDescent="0.25">
      <c r="A149" t="s">
        <v>174</v>
      </c>
      <c r="B149" t="s">
        <v>15</v>
      </c>
      <c r="C149" t="s">
        <v>23</v>
      </c>
      <c r="D149" t="s">
        <v>16</v>
      </c>
      <c r="E149" t="s">
        <v>13</v>
      </c>
      <c r="F149">
        <v>54</v>
      </c>
      <c r="G149">
        <v>135306.15</v>
      </c>
      <c r="H149">
        <v>23</v>
      </c>
      <c r="I149">
        <v>66</v>
      </c>
    </row>
    <row r="150" spans="1:9" x14ac:dyDescent="0.25">
      <c r="A150" t="s">
        <v>175</v>
      </c>
      <c r="B150" t="s">
        <v>19</v>
      </c>
      <c r="C150" t="s">
        <v>20</v>
      </c>
      <c r="D150" t="s">
        <v>24</v>
      </c>
      <c r="E150" t="s">
        <v>17</v>
      </c>
      <c r="F150">
        <v>37</v>
      </c>
      <c r="G150">
        <v>61598.53</v>
      </c>
      <c r="H150">
        <v>3</v>
      </c>
      <c r="I150">
        <v>62</v>
      </c>
    </row>
    <row r="151" spans="1:9" x14ac:dyDescent="0.25">
      <c r="A151" t="s">
        <v>176</v>
      </c>
      <c r="B151" t="s">
        <v>10</v>
      </c>
      <c r="C151" t="s">
        <v>40</v>
      </c>
      <c r="D151" t="s">
        <v>16</v>
      </c>
      <c r="E151" t="s">
        <v>13</v>
      </c>
      <c r="F151">
        <v>8</v>
      </c>
      <c r="G151">
        <v>110767.63</v>
      </c>
      <c r="H151">
        <v>14</v>
      </c>
      <c r="I151">
        <v>77</v>
      </c>
    </row>
    <row r="152" spans="1:9" x14ac:dyDescent="0.25">
      <c r="A152" t="s">
        <v>177</v>
      </c>
      <c r="B152" t="s">
        <v>10</v>
      </c>
      <c r="C152" t="s">
        <v>23</v>
      </c>
      <c r="D152" t="s">
        <v>16</v>
      </c>
      <c r="E152" t="s">
        <v>13</v>
      </c>
      <c r="F152">
        <v>18</v>
      </c>
      <c r="G152">
        <v>161014.1</v>
      </c>
      <c r="H152">
        <v>28</v>
      </c>
      <c r="I152">
        <v>40</v>
      </c>
    </row>
    <row r="153" spans="1:9" x14ac:dyDescent="0.25">
      <c r="A153" t="s">
        <v>178</v>
      </c>
      <c r="B153" t="s">
        <v>36</v>
      </c>
      <c r="C153" t="s">
        <v>20</v>
      </c>
      <c r="D153" t="s">
        <v>21</v>
      </c>
      <c r="E153" t="s">
        <v>13</v>
      </c>
      <c r="F153">
        <v>35</v>
      </c>
      <c r="G153">
        <v>80995.41</v>
      </c>
      <c r="H153">
        <v>11</v>
      </c>
      <c r="I153">
        <v>98</v>
      </c>
    </row>
    <row r="154" spans="1:9" x14ac:dyDescent="0.25">
      <c r="A154" t="s">
        <v>179</v>
      </c>
      <c r="B154" t="s">
        <v>34</v>
      </c>
      <c r="C154" t="s">
        <v>23</v>
      </c>
      <c r="D154" t="s">
        <v>24</v>
      </c>
      <c r="E154" t="s">
        <v>29</v>
      </c>
      <c r="F154">
        <v>39</v>
      </c>
      <c r="G154">
        <v>23493.03</v>
      </c>
      <c r="H154">
        <v>30</v>
      </c>
      <c r="I154">
        <v>67</v>
      </c>
    </row>
    <row r="155" spans="1:9" x14ac:dyDescent="0.25">
      <c r="A155" t="s">
        <v>180</v>
      </c>
      <c r="B155" t="s">
        <v>36</v>
      </c>
      <c r="C155" t="s">
        <v>11</v>
      </c>
      <c r="D155" t="s">
        <v>12</v>
      </c>
      <c r="E155" t="s">
        <v>29</v>
      </c>
      <c r="F155">
        <v>29</v>
      </c>
      <c r="G155">
        <v>22059.360000000001</v>
      </c>
      <c r="H155">
        <v>26</v>
      </c>
      <c r="I155">
        <v>76</v>
      </c>
    </row>
    <row r="156" spans="1:9" x14ac:dyDescent="0.25">
      <c r="A156" t="s">
        <v>181</v>
      </c>
      <c r="B156" t="s">
        <v>31</v>
      </c>
      <c r="C156" t="s">
        <v>11</v>
      </c>
      <c r="D156" t="s">
        <v>12</v>
      </c>
      <c r="E156" t="s">
        <v>29</v>
      </c>
      <c r="F156">
        <v>8</v>
      </c>
      <c r="G156">
        <v>110991.91</v>
      </c>
      <c r="H156">
        <v>6</v>
      </c>
      <c r="I156">
        <v>59</v>
      </c>
    </row>
    <row r="157" spans="1:9" x14ac:dyDescent="0.25">
      <c r="A157" t="s">
        <v>182</v>
      </c>
      <c r="B157" t="s">
        <v>19</v>
      </c>
      <c r="C157" t="s">
        <v>40</v>
      </c>
      <c r="D157" t="s">
        <v>24</v>
      </c>
      <c r="E157" t="s">
        <v>17</v>
      </c>
      <c r="F157">
        <v>18</v>
      </c>
      <c r="G157">
        <v>49209.09</v>
      </c>
      <c r="H157">
        <v>1</v>
      </c>
      <c r="I157">
        <v>71</v>
      </c>
    </row>
    <row r="158" spans="1:9" x14ac:dyDescent="0.25">
      <c r="A158" t="s">
        <v>183</v>
      </c>
      <c r="B158" t="s">
        <v>19</v>
      </c>
      <c r="C158" t="s">
        <v>40</v>
      </c>
      <c r="D158" t="s">
        <v>26</v>
      </c>
      <c r="E158" t="s">
        <v>29</v>
      </c>
      <c r="F158">
        <v>7</v>
      </c>
      <c r="G158">
        <v>102965.75</v>
      </c>
      <c r="H158">
        <v>4</v>
      </c>
      <c r="I158">
        <v>64</v>
      </c>
    </row>
    <row r="159" spans="1:9" x14ac:dyDescent="0.25">
      <c r="A159" t="s">
        <v>184</v>
      </c>
      <c r="B159" t="s">
        <v>10</v>
      </c>
      <c r="C159" t="s">
        <v>20</v>
      </c>
      <c r="D159" t="s">
        <v>21</v>
      </c>
      <c r="E159" t="s">
        <v>13</v>
      </c>
      <c r="F159">
        <v>88</v>
      </c>
      <c r="G159">
        <v>23552.14</v>
      </c>
      <c r="H159">
        <v>7</v>
      </c>
      <c r="I159">
        <v>93</v>
      </c>
    </row>
    <row r="160" spans="1:9" x14ac:dyDescent="0.25">
      <c r="A160" t="s">
        <v>185</v>
      </c>
      <c r="B160" t="s">
        <v>15</v>
      </c>
      <c r="C160" t="s">
        <v>11</v>
      </c>
      <c r="D160" t="s">
        <v>21</v>
      </c>
      <c r="E160" t="s">
        <v>29</v>
      </c>
      <c r="F160">
        <v>58</v>
      </c>
      <c r="G160">
        <v>93734.66</v>
      </c>
      <c r="H160">
        <v>28</v>
      </c>
      <c r="I160">
        <v>96</v>
      </c>
    </row>
    <row r="161" spans="1:9" x14ac:dyDescent="0.25">
      <c r="A161" t="s">
        <v>186</v>
      </c>
      <c r="B161" t="s">
        <v>34</v>
      </c>
      <c r="C161" t="s">
        <v>20</v>
      </c>
      <c r="D161" t="s">
        <v>21</v>
      </c>
      <c r="E161" t="s">
        <v>13</v>
      </c>
      <c r="F161">
        <v>5</v>
      </c>
      <c r="G161">
        <v>67321.88</v>
      </c>
      <c r="H161">
        <v>4</v>
      </c>
      <c r="I161">
        <v>79</v>
      </c>
    </row>
    <row r="162" spans="1:9" x14ac:dyDescent="0.25">
      <c r="A162" t="s">
        <v>187</v>
      </c>
      <c r="B162" t="s">
        <v>31</v>
      </c>
      <c r="C162" t="s">
        <v>40</v>
      </c>
      <c r="D162" t="s">
        <v>21</v>
      </c>
      <c r="E162" t="s">
        <v>13</v>
      </c>
      <c r="F162">
        <v>22</v>
      </c>
      <c r="G162">
        <v>144529.57999999999</v>
      </c>
      <c r="H162">
        <v>16</v>
      </c>
      <c r="I162">
        <v>59</v>
      </c>
    </row>
    <row r="163" spans="1:9" x14ac:dyDescent="0.25">
      <c r="A163" t="s">
        <v>188</v>
      </c>
      <c r="B163" t="s">
        <v>36</v>
      </c>
      <c r="C163" t="s">
        <v>40</v>
      </c>
      <c r="D163" t="s">
        <v>21</v>
      </c>
      <c r="E163" t="s">
        <v>13</v>
      </c>
      <c r="F163">
        <v>43</v>
      </c>
      <c r="G163">
        <v>127777.95</v>
      </c>
      <c r="H163">
        <v>6</v>
      </c>
      <c r="I163">
        <v>59</v>
      </c>
    </row>
    <row r="164" spans="1:9" x14ac:dyDescent="0.25">
      <c r="A164" t="s">
        <v>189</v>
      </c>
      <c r="B164" t="s">
        <v>15</v>
      </c>
      <c r="C164" t="s">
        <v>23</v>
      </c>
      <c r="D164" t="s">
        <v>24</v>
      </c>
      <c r="E164" t="s">
        <v>17</v>
      </c>
      <c r="F164">
        <v>73</v>
      </c>
      <c r="G164">
        <v>171638.14</v>
      </c>
      <c r="H164">
        <v>3</v>
      </c>
      <c r="I164">
        <v>90</v>
      </c>
    </row>
    <row r="165" spans="1:9" x14ac:dyDescent="0.25">
      <c r="A165" t="s">
        <v>190</v>
      </c>
      <c r="B165" t="s">
        <v>19</v>
      </c>
      <c r="C165" t="s">
        <v>11</v>
      </c>
      <c r="D165" t="s">
        <v>21</v>
      </c>
      <c r="E165" t="s">
        <v>13</v>
      </c>
      <c r="F165">
        <v>86</v>
      </c>
      <c r="G165">
        <v>172377.99</v>
      </c>
      <c r="H165">
        <v>30</v>
      </c>
      <c r="I165">
        <v>89</v>
      </c>
    </row>
    <row r="166" spans="1:9" x14ac:dyDescent="0.25">
      <c r="A166" t="s">
        <v>191</v>
      </c>
      <c r="B166" t="s">
        <v>10</v>
      </c>
      <c r="C166" t="s">
        <v>23</v>
      </c>
      <c r="D166" t="s">
        <v>24</v>
      </c>
      <c r="E166" t="s">
        <v>13</v>
      </c>
      <c r="F166">
        <v>70</v>
      </c>
      <c r="G166">
        <v>30394.77</v>
      </c>
      <c r="H166">
        <v>5</v>
      </c>
      <c r="I166">
        <v>44</v>
      </c>
    </row>
    <row r="167" spans="1:9" x14ac:dyDescent="0.25">
      <c r="A167" t="s">
        <v>192</v>
      </c>
      <c r="B167" t="s">
        <v>36</v>
      </c>
      <c r="C167" t="s">
        <v>40</v>
      </c>
      <c r="D167" t="s">
        <v>26</v>
      </c>
      <c r="E167" t="s">
        <v>29</v>
      </c>
      <c r="F167">
        <v>63</v>
      </c>
      <c r="G167">
        <v>162079.04000000001</v>
      </c>
      <c r="H167">
        <v>23</v>
      </c>
      <c r="I167">
        <v>83</v>
      </c>
    </row>
    <row r="168" spans="1:9" x14ac:dyDescent="0.25">
      <c r="A168" t="s">
        <v>193</v>
      </c>
      <c r="B168" t="s">
        <v>15</v>
      </c>
      <c r="C168" t="s">
        <v>23</v>
      </c>
      <c r="D168" t="s">
        <v>12</v>
      </c>
      <c r="E168" t="s">
        <v>29</v>
      </c>
      <c r="F168">
        <v>19</v>
      </c>
      <c r="G168">
        <v>37783.78</v>
      </c>
      <c r="H168">
        <v>13</v>
      </c>
      <c r="I168">
        <v>58</v>
      </c>
    </row>
    <row r="169" spans="1:9" x14ac:dyDescent="0.25">
      <c r="A169" t="s">
        <v>194</v>
      </c>
      <c r="B169" t="s">
        <v>10</v>
      </c>
      <c r="C169" t="s">
        <v>11</v>
      </c>
      <c r="D169" t="s">
        <v>24</v>
      </c>
      <c r="E169" t="s">
        <v>13</v>
      </c>
      <c r="F169">
        <v>55</v>
      </c>
      <c r="G169">
        <v>54255.24</v>
      </c>
      <c r="H169">
        <v>11</v>
      </c>
      <c r="I169">
        <v>55</v>
      </c>
    </row>
    <row r="170" spans="1:9" x14ac:dyDescent="0.25">
      <c r="A170" t="s">
        <v>195</v>
      </c>
      <c r="B170" t="s">
        <v>36</v>
      </c>
      <c r="C170" t="s">
        <v>23</v>
      </c>
      <c r="D170" t="s">
        <v>12</v>
      </c>
      <c r="E170" t="s">
        <v>29</v>
      </c>
      <c r="F170">
        <v>52</v>
      </c>
      <c r="G170">
        <v>81059.259999999995</v>
      </c>
      <c r="H170">
        <v>18</v>
      </c>
      <c r="I170">
        <v>93</v>
      </c>
    </row>
    <row r="171" spans="1:9" x14ac:dyDescent="0.25">
      <c r="A171" t="s">
        <v>196</v>
      </c>
      <c r="B171" t="s">
        <v>31</v>
      </c>
      <c r="C171" t="s">
        <v>20</v>
      </c>
      <c r="D171" t="s">
        <v>24</v>
      </c>
      <c r="E171" t="s">
        <v>17</v>
      </c>
      <c r="F171">
        <v>65</v>
      </c>
      <c r="G171">
        <v>181154.23</v>
      </c>
      <c r="H171">
        <v>11</v>
      </c>
      <c r="I171">
        <v>65</v>
      </c>
    </row>
    <row r="172" spans="1:9" x14ac:dyDescent="0.25">
      <c r="A172" t="s">
        <v>197</v>
      </c>
      <c r="B172" t="s">
        <v>36</v>
      </c>
      <c r="C172" t="s">
        <v>20</v>
      </c>
      <c r="D172" t="s">
        <v>24</v>
      </c>
      <c r="E172" t="s">
        <v>13</v>
      </c>
      <c r="F172">
        <v>26</v>
      </c>
      <c r="G172">
        <v>12634.54</v>
      </c>
      <c r="H172">
        <v>15</v>
      </c>
      <c r="I172">
        <v>90</v>
      </c>
    </row>
    <row r="173" spans="1:9" x14ac:dyDescent="0.25">
      <c r="A173" t="s">
        <v>198</v>
      </c>
      <c r="B173" t="s">
        <v>15</v>
      </c>
      <c r="C173" t="s">
        <v>20</v>
      </c>
      <c r="D173" t="s">
        <v>16</v>
      </c>
      <c r="E173" t="s">
        <v>17</v>
      </c>
      <c r="F173">
        <v>59</v>
      </c>
      <c r="G173">
        <v>5146.29</v>
      </c>
      <c r="H173">
        <v>13</v>
      </c>
      <c r="I173">
        <v>72</v>
      </c>
    </row>
    <row r="174" spans="1:9" x14ac:dyDescent="0.25">
      <c r="A174" t="s">
        <v>199</v>
      </c>
      <c r="B174" t="s">
        <v>31</v>
      </c>
      <c r="C174" t="s">
        <v>11</v>
      </c>
      <c r="D174" t="s">
        <v>12</v>
      </c>
      <c r="E174" t="s">
        <v>17</v>
      </c>
      <c r="F174">
        <v>63</v>
      </c>
      <c r="G174">
        <v>92018.23</v>
      </c>
      <c r="H174">
        <v>13</v>
      </c>
      <c r="I174">
        <v>75</v>
      </c>
    </row>
    <row r="175" spans="1:9" x14ac:dyDescent="0.25">
      <c r="A175" t="s">
        <v>200</v>
      </c>
      <c r="B175" t="s">
        <v>36</v>
      </c>
      <c r="C175" t="s">
        <v>11</v>
      </c>
      <c r="D175" t="s">
        <v>24</v>
      </c>
      <c r="E175" t="s">
        <v>13</v>
      </c>
      <c r="F175">
        <v>54</v>
      </c>
      <c r="G175">
        <v>84955.1</v>
      </c>
      <c r="H175">
        <v>25</v>
      </c>
      <c r="I175">
        <v>91</v>
      </c>
    </row>
    <row r="176" spans="1:9" x14ac:dyDescent="0.25">
      <c r="A176" t="s">
        <v>201</v>
      </c>
      <c r="B176" t="s">
        <v>34</v>
      </c>
      <c r="C176" t="s">
        <v>20</v>
      </c>
      <c r="D176" t="s">
        <v>21</v>
      </c>
      <c r="E176" t="s">
        <v>29</v>
      </c>
      <c r="F176">
        <v>9</v>
      </c>
      <c r="G176">
        <v>140185.46</v>
      </c>
      <c r="H176">
        <v>2</v>
      </c>
      <c r="I176">
        <v>73</v>
      </c>
    </row>
    <row r="177" spans="1:9" x14ac:dyDescent="0.25">
      <c r="A177" t="s">
        <v>202</v>
      </c>
      <c r="B177" t="s">
        <v>31</v>
      </c>
      <c r="C177" t="s">
        <v>23</v>
      </c>
      <c r="D177" t="s">
        <v>12</v>
      </c>
      <c r="E177" t="s">
        <v>29</v>
      </c>
      <c r="F177">
        <v>10</v>
      </c>
      <c r="G177">
        <v>39900.1</v>
      </c>
      <c r="H177">
        <v>23</v>
      </c>
      <c r="I177">
        <v>57</v>
      </c>
    </row>
    <row r="178" spans="1:9" x14ac:dyDescent="0.25">
      <c r="A178" t="s">
        <v>203</v>
      </c>
      <c r="B178" t="s">
        <v>34</v>
      </c>
      <c r="C178" t="s">
        <v>40</v>
      </c>
      <c r="D178" t="s">
        <v>12</v>
      </c>
      <c r="E178" t="s">
        <v>29</v>
      </c>
      <c r="F178">
        <v>58</v>
      </c>
      <c r="G178">
        <v>60485.38</v>
      </c>
      <c r="H178">
        <v>28</v>
      </c>
      <c r="I178">
        <v>63</v>
      </c>
    </row>
    <row r="179" spans="1:9" x14ac:dyDescent="0.25">
      <c r="A179" t="s">
        <v>204</v>
      </c>
      <c r="B179" t="s">
        <v>36</v>
      </c>
      <c r="C179" t="s">
        <v>11</v>
      </c>
      <c r="D179" t="s">
        <v>16</v>
      </c>
      <c r="E179" t="s">
        <v>29</v>
      </c>
      <c r="F179">
        <v>67</v>
      </c>
      <c r="G179">
        <v>23908.37</v>
      </c>
      <c r="H179">
        <v>14</v>
      </c>
      <c r="I179">
        <v>60</v>
      </c>
    </row>
    <row r="180" spans="1:9" x14ac:dyDescent="0.25">
      <c r="A180" t="s">
        <v>205</v>
      </c>
      <c r="B180" t="s">
        <v>36</v>
      </c>
      <c r="C180" t="s">
        <v>23</v>
      </c>
      <c r="D180" t="s">
        <v>16</v>
      </c>
      <c r="E180" t="s">
        <v>13</v>
      </c>
      <c r="F180">
        <v>1</v>
      </c>
      <c r="G180">
        <v>128384.23</v>
      </c>
      <c r="H180">
        <v>8</v>
      </c>
      <c r="I180">
        <v>83</v>
      </c>
    </row>
    <row r="181" spans="1:9" x14ac:dyDescent="0.25">
      <c r="A181" t="s">
        <v>206</v>
      </c>
      <c r="B181" t="s">
        <v>10</v>
      </c>
      <c r="C181" t="s">
        <v>23</v>
      </c>
      <c r="D181" t="s">
        <v>16</v>
      </c>
      <c r="E181" t="s">
        <v>13</v>
      </c>
      <c r="F181">
        <v>12</v>
      </c>
      <c r="G181">
        <v>101610.02</v>
      </c>
      <c r="H181">
        <v>17</v>
      </c>
      <c r="I181">
        <v>91</v>
      </c>
    </row>
    <row r="182" spans="1:9" x14ac:dyDescent="0.25">
      <c r="A182" t="s">
        <v>207</v>
      </c>
      <c r="B182" t="s">
        <v>34</v>
      </c>
      <c r="C182" t="s">
        <v>11</v>
      </c>
      <c r="D182" t="s">
        <v>24</v>
      </c>
      <c r="E182" t="s">
        <v>29</v>
      </c>
      <c r="F182">
        <v>36</v>
      </c>
      <c r="G182">
        <v>148837.57</v>
      </c>
      <c r="H182">
        <v>24</v>
      </c>
      <c r="I182">
        <v>81</v>
      </c>
    </row>
    <row r="183" spans="1:9" x14ac:dyDescent="0.25">
      <c r="A183" t="s">
        <v>208</v>
      </c>
      <c r="B183" t="s">
        <v>34</v>
      </c>
      <c r="C183" t="s">
        <v>23</v>
      </c>
      <c r="D183" t="s">
        <v>21</v>
      </c>
      <c r="E183" t="s">
        <v>17</v>
      </c>
      <c r="F183">
        <v>7</v>
      </c>
      <c r="G183">
        <v>152513.39000000001</v>
      </c>
      <c r="H183">
        <v>12</v>
      </c>
      <c r="I183">
        <v>54</v>
      </c>
    </row>
    <row r="184" spans="1:9" x14ac:dyDescent="0.25">
      <c r="A184" t="s">
        <v>209</v>
      </c>
      <c r="B184" t="s">
        <v>34</v>
      </c>
      <c r="C184" t="s">
        <v>20</v>
      </c>
      <c r="D184" t="s">
        <v>16</v>
      </c>
      <c r="E184" t="s">
        <v>17</v>
      </c>
      <c r="F184">
        <v>71</v>
      </c>
      <c r="G184">
        <v>137862.76</v>
      </c>
      <c r="H184">
        <v>19</v>
      </c>
      <c r="I184">
        <v>96</v>
      </c>
    </row>
    <row r="185" spans="1:9" x14ac:dyDescent="0.25">
      <c r="A185" t="s">
        <v>210</v>
      </c>
      <c r="B185" t="s">
        <v>34</v>
      </c>
      <c r="C185" t="s">
        <v>11</v>
      </c>
      <c r="D185" t="s">
        <v>21</v>
      </c>
      <c r="E185" t="s">
        <v>13</v>
      </c>
      <c r="F185">
        <v>30</v>
      </c>
      <c r="G185">
        <v>152735.66</v>
      </c>
      <c r="H185">
        <v>3</v>
      </c>
      <c r="I185">
        <v>74</v>
      </c>
    </row>
    <row r="186" spans="1:9" x14ac:dyDescent="0.25">
      <c r="A186" t="s">
        <v>211</v>
      </c>
      <c r="B186" t="s">
        <v>19</v>
      </c>
      <c r="C186" t="s">
        <v>11</v>
      </c>
      <c r="D186" t="s">
        <v>16</v>
      </c>
      <c r="E186" t="s">
        <v>29</v>
      </c>
      <c r="F186">
        <v>14</v>
      </c>
      <c r="G186">
        <v>149110.43</v>
      </c>
      <c r="H186">
        <v>24</v>
      </c>
      <c r="I186">
        <v>63</v>
      </c>
    </row>
    <row r="187" spans="1:9" x14ac:dyDescent="0.25">
      <c r="A187" t="s">
        <v>212</v>
      </c>
      <c r="B187" t="s">
        <v>15</v>
      </c>
      <c r="C187" t="s">
        <v>40</v>
      </c>
      <c r="D187" t="s">
        <v>16</v>
      </c>
      <c r="E187" t="s">
        <v>29</v>
      </c>
      <c r="F187">
        <v>8</v>
      </c>
      <c r="G187">
        <v>84348.04</v>
      </c>
      <c r="H187">
        <v>5</v>
      </c>
      <c r="I187">
        <v>69</v>
      </c>
    </row>
    <row r="188" spans="1:9" x14ac:dyDescent="0.25">
      <c r="A188" t="s">
        <v>213</v>
      </c>
      <c r="B188" t="s">
        <v>15</v>
      </c>
      <c r="C188" t="s">
        <v>11</v>
      </c>
      <c r="D188" t="s">
        <v>16</v>
      </c>
      <c r="E188" t="s">
        <v>17</v>
      </c>
      <c r="F188">
        <v>49</v>
      </c>
      <c r="G188">
        <v>146382.39000000001</v>
      </c>
      <c r="H188">
        <v>23</v>
      </c>
      <c r="I188">
        <v>54</v>
      </c>
    </row>
    <row r="189" spans="1:9" x14ac:dyDescent="0.25">
      <c r="A189" t="s">
        <v>214</v>
      </c>
      <c r="B189" t="s">
        <v>10</v>
      </c>
      <c r="C189" t="s">
        <v>40</v>
      </c>
      <c r="D189" t="s">
        <v>12</v>
      </c>
      <c r="E189" t="s">
        <v>17</v>
      </c>
      <c r="F189">
        <v>1</v>
      </c>
      <c r="G189">
        <v>173398.27</v>
      </c>
      <c r="H189">
        <v>2</v>
      </c>
      <c r="I189">
        <v>54</v>
      </c>
    </row>
    <row r="190" spans="1:9" x14ac:dyDescent="0.25">
      <c r="A190" t="s">
        <v>215</v>
      </c>
      <c r="B190" t="s">
        <v>36</v>
      </c>
      <c r="C190" t="s">
        <v>20</v>
      </c>
      <c r="D190" t="s">
        <v>21</v>
      </c>
      <c r="E190" t="s">
        <v>29</v>
      </c>
      <c r="F190">
        <v>42</v>
      </c>
      <c r="G190">
        <v>41399.83</v>
      </c>
      <c r="H190">
        <v>16</v>
      </c>
      <c r="I190">
        <v>49</v>
      </c>
    </row>
    <row r="191" spans="1:9" x14ac:dyDescent="0.25">
      <c r="A191" t="s">
        <v>216</v>
      </c>
      <c r="B191" t="s">
        <v>34</v>
      </c>
      <c r="C191" t="s">
        <v>20</v>
      </c>
      <c r="D191" t="s">
        <v>24</v>
      </c>
      <c r="E191" t="s">
        <v>29</v>
      </c>
      <c r="F191">
        <v>57</v>
      </c>
      <c r="G191">
        <v>104618.52</v>
      </c>
      <c r="H191">
        <v>8</v>
      </c>
      <c r="I191">
        <v>80</v>
      </c>
    </row>
    <row r="192" spans="1:9" x14ac:dyDescent="0.25">
      <c r="A192" t="s">
        <v>217</v>
      </c>
      <c r="B192" t="s">
        <v>19</v>
      </c>
      <c r="C192" t="s">
        <v>23</v>
      </c>
      <c r="D192" t="s">
        <v>26</v>
      </c>
      <c r="E192" t="s">
        <v>17</v>
      </c>
      <c r="F192">
        <v>87</v>
      </c>
      <c r="G192">
        <v>162146.92000000001</v>
      </c>
      <c r="H192">
        <v>24</v>
      </c>
      <c r="I192">
        <v>55</v>
      </c>
    </row>
    <row r="193" spans="1:9" x14ac:dyDescent="0.25">
      <c r="A193" t="s">
        <v>218</v>
      </c>
      <c r="B193" t="s">
        <v>10</v>
      </c>
      <c r="C193" t="s">
        <v>23</v>
      </c>
      <c r="D193" t="s">
        <v>21</v>
      </c>
      <c r="E193" t="s">
        <v>13</v>
      </c>
      <c r="F193">
        <v>20</v>
      </c>
      <c r="G193">
        <v>146304.38</v>
      </c>
      <c r="H193">
        <v>26</v>
      </c>
      <c r="I193">
        <v>66</v>
      </c>
    </row>
    <row r="194" spans="1:9" x14ac:dyDescent="0.25">
      <c r="A194" t="s">
        <v>219</v>
      </c>
      <c r="B194" t="s">
        <v>19</v>
      </c>
      <c r="C194" t="s">
        <v>20</v>
      </c>
      <c r="D194" t="s">
        <v>24</v>
      </c>
      <c r="E194" t="s">
        <v>13</v>
      </c>
      <c r="F194">
        <v>50</v>
      </c>
      <c r="G194">
        <v>93274.51</v>
      </c>
      <c r="H194">
        <v>12</v>
      </c>
      <c r="I194">
        <v>88</v>
      </c>
    </row>
    <row r="195" spans="1:9" x14ac:dyDescent="0.25">
      <c r="A195" t="s">
        <v>220</v>
      </c>
      <c r="B195" t="s">
        <v>34</v>
      </c>
      <c r="C195" t="s">
        <v>20</v>
      </c>
      <c r="D195" t="s">
        <v>26</v>
      </c>
      <c r="E195" t="s">
        <v>29</v>
      </c>
      <c r="F195">
        <v>58</v>
      </c>
      <c r="G195">
        <v>25109.91</v>
      </c>
      <c r="H195">
        <v>14</v>
      </c>
      <c r="I195">
        <v>46</v>
      </c>
    </row>
    <row r="196" spans="1:9" x14ac:dyDescent="0.25">
      <c r="A196" t="s">
        <v>221</v>
      </c>
      <c r="B196" t="s">
        <v>34</v>
      </c>
      <c r="C196" t="s">
        <v>23</v>
      </c>
      <c r="D196" t="s">
        <v>12</v>
      </c>
      <c r="E196" t="s">
        <v>29</v>
      </c>
      <c r="F196">
        <v>17</v>
      </c>
      <c r="G196">
        <v>123754.79</v>
      </c>
      <c r="H196">
        <v>24</v>
      </c>
      <c r="I196">
        <v>60</v>
      </c>
    </row>
    <row r="197" spans="1:9" x14ac:dyDescent="0.25">
      <c r="A197" t="s">
        <v>222</v>
      </c>
      <c r="B197" t="s">
        <v>19</v>
      </c>
      <c r="C197" t="s">
        <v>11</v>
      </c>
      <c r="D197" t="s">
        <v>21</v>
      </c>
      <c r="E197" t="s">
        <v>29</v>
      </c>
      <c r="F197">
        <v>67</v>
      </c>
      <c r="G197">
        <v>176116.52</v>
      </c>
      <c r="H197">
        <v>28</v>
      </c>
      <c r="I197">
        <v>53</v>
      </c>
    </row>
    <row r="198" spans="1:9" x14ac:dyDescent="0.25">
      <c r="A198" t="s">
        <v>223</v>
      </c>
      <c r="B198" t="s">
        <v>31</v>
      </c>
      <c r="C198" t="s">
        <v>20</v>
      </c>
      <c r="D198" t="s">
        <v>24</v>
      </c>
      <c r="E198" t="s">
        <v>29</v>
      </c>
      <c r="F198">
        <v>72</v>
      </c>
      <c r="G198">
        <v>56812.91</v>
      </c>
      <c r="H198">
        <v>6</v>
      </c>
      <c r="I198">
        <v>68</v>
      </c>
    </row>
    <row r="199" spans="1:9" x14ac:dyDescent="0.25">
      <c r="A199" t="s">
        <v>224</v>
      </c>
      <c r="B199" t="s">
        <v>34</v>
      </c>
      <c r="C199" t="s">
        <v>20</v>
      </c>
      <c r="D199" t="s">
        <v>12</v>
      </c>
      <c r="E199" t="s">
        <v>29</v>
      </c>
      <c r="F199">
        <v>54</v>
      </c>
      <c r="G199">
        <v>52589.51</v>
      </c>
      <c r="H199">
        <v>16</v>
      </c>
      <c r="I199">
        <v>98</v>
      </c>
    </row>
    <row r="200" spans="1:9" x14ac:dyDescent="0.25">
      <c r="A200" t="s">
        <v>225</v>
      </c>
      <c r="B200" t="s">
        <v>36</v>
      </c>
      <c r="C200" t="s">
        <v>11</v>
      </c>
      <c r="D200" t="s">
        <v>21</v>
      </c>
      <c r="E200" t="s">
        <v>17</v>
      </c>
      <c r="F200">
        <v>13</v>
      </c>
      <c r="G200">
        <v>24830.58</v>
      </c>
      <c r="H200">
        <v>18</v>
      </c>
      <c r="I200">
        <v>91</v>
      </c>
    </row>
    <row r="201" spans="1:9" x14ac:dyDescent="0.25">
      <c r="A201" t="s">
        <v>226</v>
      </c>
      <c r="B201" t="s">
        <v>19</v>
      </c>
      <c r="C201" t="s">
        <v>11</v>
      </c>
      <c r="D201" t="s">
        <v>16</v>
      </c>
      <c r="E201" t="s">
        <v>13</v>
      </c>
      <c r="F201">
        <v>45</v>
      </c>
      <c r="G201">
        <v>32813.519999999997</v>
      </c>
      <c r="H201">
        <v>13</v>
      </c>
      <c r="I201">
        <v>84</v>
      </c>
    </row>
    <row r="202" spans="1:9" x14ac:dyDescent="0.25">
      <c r="A202" t="s">
        <v>227</v>
      </c>
      <c r="B202" t="s">
        <v>15</v>
      </c>
      <c r="C202" t="s">
        <v>11</v>
      </c>
      <c r="D202" t="s">
        <v>16</v>
      </c>
      <c r="E202" t="s">
        <v>17</v>
      </c>
      <c r="F202">
        <v>35</v>
      </c>
      <c r="G202">
        <v>101869.41</v>
      </c>
      <c r="H202">
        <v>20</v>
      </c>
      <c r="I202">
        <v>69</v>
      </c>
    </row>
    <row r="203" spans="1:9" x14ac:dyDescent="0.25">
      <c r="A203" t="s">
        <v>228</v>
      </c>
      <c r="B203" t="s">
        <v>19</v>
      </c>
      <c r="C203" t="s">
        <v>20</v>
      </c>
      <c r="D203" t="s">
        <v>21</v>
      </c>
      <c r="E203" t="s">
        <v>13</v>
      </c>
      <c r="F203">
        <v>90</v>
      </c>
      <c r="G203">
        <v>28419.8</v>
      </c>
      <c r="H203">
        <v>15</v>
      </c>
      <c r="I203">
        <v>91</v>
      </c>
    </row>
    <row r="204" spans="1:9" x14ac:dyDescent="0.25">
      <c r="A204" t="s">
        <v>229</v>
      </c>
      <c r="B204" t="s">
        <v>15</v>
      </c>
      <c r="C204" t="s">
        <v>20</v>
      </c>
      <c r="D204" t="s">
        <v>26</v>
      </c>
      <c r="E204" t="s">
        <v>29</v>
      </c>
      <c r="F204">
        <v>55</v>
      </c>
      <c r="G204">
        <v>161060.01</v>
      </c>
      <c r="H204">
        <v>27</v>
      </c>
      <c r="I204">
        <v>69</v>
      </c>
    </row>
    <row r="205" spans="1:9" x14ac:dyDescent="0.25">
      <c r="A205" t="s">
        <v>230</v>
      </c>
      <c r="B205" t="s">
        <v>36</v>
      </c>
      <c r="C205" t="s">
        <v>40</v>
      </c>
      <c r="D205" t="s">
        <v>16</v>
      </c>
      <c r="E205" t="s">
        <v>13</v>
      </c>
      <c r="F205">
        <v>23</v>
      </c>
      <c r="G205">
        <v>162322.45000000001</v>
      </c>
      <c r="H205">
        <v>25</v>
      </c>
      <c r="I205">
        <v>97</v>
      </c>
    </row>
    <row r="206" spans="1:9" x14ac:dyDescent="0.25">
      <c r="A206" t="s">
        <v>231</v>
      </c>
      <c r="B206" t="s">
        <v>31</v>
      </c>
      <c r="C206" t="s">
        <v>11</v>
      </c>
      <c r="D206" t="s">
        <v>21</v>
      </c>
      <c r="E206" t="s">
        <v>13</v>
      </c>
      <c r="F206">
        <v>85</v>
      </c>
      <c r="G206">
        <v>28708.77</v>
      </c>
      <c r="H206">
        <v>21</v>
      </c>
      <c r="I206">
        <v>73</v>
      </c>
    </row>
    <row r="207" spans="1:9" x14ac:dyDescent="0.25">
      <c r="A207" t="s">
        <v>232</v>
      </c>
      <c r="B207" t="s">
        <v>34</v>
      </c>
      <c r="C207" t="s">
        <v>11</v>
      </c>
      <c r="D207" t="s">
        <v>24</v>
      </c>
      <c r="E207" t="s">
        <v>13</v>
      </c>
      <c r="F207">
        <v>45</v>
      </c>
      <c r="G207">
        <v>106594.72</v>
      </c>
      <c r="H207">
        <v>19</v>
      </c>
      <c r="I207">
        <v>71</v>
      </c>
    </row>
    <row r="208" spans="1:9" x14ac:dyDescent="0.25">
      <c r="A208" t="s">
        <v>233</v>
      </c>
      <c r="B208" t="s">
        <v>19</v>
      </c>
      <c r="C208" t="s">
        <v>20</v>
      </c>
      <c r="D208" t="s">
        <v>26</v>
      </c>
      <c r="E208" t="s">
        <v>17</v>
      </c>
      <c r="F208">
        <v>14</v>
      </c>
      <c r="G208">
        <v>143149.31</v>
      </c>
      <c r="H208">
        <v>24</v>
      </c>
      <c r="I208">
        <v>99</v>
      </c>
    </row>
    <row r="209" spans="1:9" x14ac:dyDescent="0.25">
      <c r="A209" t="s">
        <v>234</v>
      </c>
      <c r="B209" t="s">
        <v>19</v>
      </c>
      <c r="C209" t="s">
        <v>23</v>
      </c>
      <c r="D209" t="s">
        <v>16</v>
      </c>
      <c r="E209" t="s">
        <v>29</v>
      </c>
      <c r="F209">
        <v>40</v>
      </c>
      <c r="G209">
        <v>185926.11</v>
      </c>
      <c r="H209">
        <v>18</v>
      </c>
      <c r="I209">
        <v>78</v>
      </c>
    </row>
    <row r="210" spans="1:9" x14ac:dyDescent="0.25">
      <c r="A210" t="s">
        <v>235</v>
      </c>
      <c r="B210" t="s">
        <v>10</v>
      </c>
      <c r="C210" t="s">
        <v>11</v>
      </c>
      <c r="D210" t="s">
        <v>16</v>
      </c>
      <c r="E210" t="s">
        <v>17</v>
      </c>
      <c r="F210">
        <v>63</v>
      </c>
      <c r="G210">
        <v>54624.83</v>
      </c>
      <c r="H210">
        <v>7</v>
      </c>
      <c r="I210">
        <v>57</v>
      </c>
    </row>
    <row r="211" spans="1:9" x14ac:dyDescent="0.25">
      <c r="A211" t="s">
        <v>236</v>
      </c>
      <c r="B211" t="s">
        <v>36</v>
      </c>
      <c r="C211" t="s">
        <v>11</v>
      </c>
      <c r="D211" t="s">
        <v>12</v>
      </c>
      <c r="E211" t="s">
        <v>29</v>
      </c>
      <c r="F211">
        <v>90</v>
      </c>
      <c r="G211">
        <v>52550.64</v>
      </c>
      <c r="H211">
        <v>20</v>
      </c>
      <c r="I211">
        <v>100</v>
      </c>
    </row>
    <row r="212" spans="1:9" x14ac:dyDescent="0.25">
      <c r="A212" t="s">
        <v>237</v>
      </c>
      <c r="B212" t="s">
        <v>10</v>
      </c>
      <c r="C212" t="s">
        <v>20</v>
      </c>
      <c r="D212" t="s">
        <v>24</v>
      </c>
      <c r="E212" t="s">
        <v>17</v>
      </c>
      <c r="F212">
        <v>25</v>
      </c>
      <c r="G212">
        <v>25431.63</v>
      </c>
      <c r="H212">
        <v>4</v>
      </c>
      <c r="I212">
        <v>63</v>
      </c>
    </row>
    <row r="213" spans="1:9" x14ac:dyDescent="0.25">
      <c r="A213" t="s">
        <v>238</v>
      </c>
      <c r="B213" t="s">
        <v>36</v>
      </c>
      <c r="C213" t="s">
        <v>11</v>
      </c>
      <c r="D213" t="s">
        <v>26</v>
      </c>
      <c r="E213" t="s">
        <v>13</v>
      </c>
      <c r="F213">
        <v>61</v>
      </c>
      <c r="G213">
        <v>116103.83</v>
      </c>
      <c r="H213">
        <v>15</v>
      </c>
      <c r="I213">
        <v>61</v>
      </c>
    </row>
    <row r="214" spans="1:9" x14ac:dyDescent="0.25">
      <c r="A214" t="s">
        <v>239</v>
      </c>
      <c r="B214" t="s">
        <v>34</v>
      </c>
      <c r="C214" t="s">
        <v>20</v>
      </c>
      <c r="D214" t="s">
        <v>12</v>
      </c>
      <c r="E214" t="s">
        <v>17</v>
      </c>
      <c r="F214">
        <v>54</v>
      </c>
      <c r="G214">
        <v>75930.89</v>
      </c>
      <c r="H214">
        <v>7</v>
      </c>
      <c r="I214">
        <v>55</v>
      </c>
    </row>
    <row r="215" spans="1:9" x14ac:dyDescent="0.25">
      <c r="A215" t="s">
        <v>240</v>
      </c>
      <c r="B215" t="s">
        <v>19</v>
      </c>
      <c r="C215" t="s">
        <v>20</v>
      </c>
      <c r="D215" t="s">
        <v>21</v>
      </c>
      <c r="E215" t="s">
        <v>13</v>
      </c>
      <c r="F215">
        <v>76</v>
      </c>
      <c r="G215">
        <v>20335.37</v>
      </c>
      <c r="H215">
        <v>11</v>
      </c>
      <c r="I215">
        <v>86</v>
      </c>
    </row>
    <row r="216" spans="1:9" x14ac:dyDescent="0.25">
      <c r="A216" t="s">
        <v>241</v>
      </c>
      <c r="B216" t="s">
        <v>31</v>
      </c>
      <c r="C216" t="s">
        <v>20</v>
      </c>
      <c r="D216" t="s">
        <v>21</v>
      </c>
      <c r="E216" t="s">
        <v>29</v>
      </c>
      <c r="F216">
        <v>25</v>
      </c>
      <c r="G216">
        <v>165500.42000000001</v>
      </c>
      <c r="H216">
        <v>29</v>
      </c>
      <c r="I216">
        <v>53</v>
      </c>
    </row>
    <row r="217" spans="1:9" x14ac:dyDescent="0.25">
      <c r="A217" t="s">
        <v>242</v>
      </c>
      <c r="B217" t="s">
        <v>10</v>
      </c>
      <c r="C217" t="s">
        <v>20</v>
      </c>
      <c r="D217" t="s">
        <v>12</v>
      </c>
      <c r="E217" t="s">
        <v>29</v>
      </c>
      <c r="F217">
        <v>57</v>
      </c>
      <c r="G217">
        <v>15118.74</v>
      </c>
      <c r="H217">
        <v>3</v>
      </c>
      <c r="I217">
        <v>88</v>
      </c>
    </row>
    <row r="218" spans="1:9" x14ac:dyDescent="0.25">
      <c r="A218" t="s">
        <v>243</v>
      </c>
      <c r="B218" t="s">
        <v>10</v>
      </c>
      <c r="C218" t="s">
        <v>11</v>
      </c>
      <c r="D218" t="s">
        <v>24</v>
      </c>
      <c r="E218" t="s">
        <v>17</v>
      </c>
      <c r="F218">
        <v>32</v>
      </c>
      <c r="G218">
        <v>75309.14</v>
      </c>
      <c r="H218">
        <v>2</v>
      </c>
      <c r="I218">
        <v>63</v>
      </c>
    </row>
    <row r="219" spans="1:9" x14ac:dyDescent="0.25">
      <c r="A219" t="s">
        <v>244</v>
      </c>
      <c r="B219" t="s">
        <v>10</v>
      </c>
      <c r="C219" t="s">
        <v>23</v>
      </c>
      <c r="D219" t="s">
        <v>24</v>
      </c>
      <c r="E219" t="s">
        <v>29</v>
      </c>
      <c r="F219">
        <v>61</v>
      </c>
      <c r="G219">
        <v>113329.22</v>
      </c>
      <c r="H219">
        <v>21</v>
      </c>
      <c r="I219">
        <v>95</v>
      </c>
    </row>
    <row r="220" spans="1:9" x14ac:dyDescent="0.25">
      <c r="A220" t="s">
        <v>245</v>
      </c>
      <c r="B220" t="s">
        <v>31</v>
      </c>
      <c r="C220" t="s">
        <v>20</v>
      </c>
      <c r="D220" t="s">
        <v>12</v>
      </c>
      <c r="E220" t="s">
        <v>29</v>
      </c>
      <c r="F220">
        <v>5</v>
      </c>
      <c r="G220">
        <v>154107.12</v>
      </c>
      <c r="H220">
        <v>23</v>
      </c>
      <c r="I220">
        <v>72</v>
      </c>
    </row>
    <row r="221" spans="1:9" x14ac:dyDescent="0.25">
      <c r="A221" t="s">
        <v>246</v>
      </c>
      <c r="B221" t="s">
        <v>15</v>
      </c>
      <c r="C221" t="s">
        <v>23</v>
      </c>
      <c r="D221" t="s">
        <v>16</v>
      </c>
      <c r="E221" t="s">
        <v>13</v>
      </c>
      <c r="F221">
        <v>45</v>
      </c>
      <c r="G221">
        <v>190491.59</v>
      </c>
      <c r="H221">
        <v>22</v>
      </c>
      <c r="I221">
        <v>91</v>
      </c>
    </row>
    <row r="222" spans="1:9" x14ac:dyDescent="0.25">
      <c r="A222" t="s">
        <v>247</v>
      </c>
      <c r="B222" t="s">
        <v>10</v>
      </c>
      <c r="C222" t="s">
        <v>11</v>
      </c>
      <c r="D222" t="s">
        <v>12</v>
      </c>
      <c r="E222" t="s">
        <v>29</v>
      </c>
      <c r="F222">
        <v>43</v>
      </c>
      <c r="G222">
        <v>127731.84</v>
      </c>
      <c r="H222">
        <v>8</v>
      </c>
      <c r="I222">
        <v>41</v>
      </c>
    </row>
    <row r="223" spans="1:9" x14ac:dyDescent="0.25">
      <c r="A223" t="s">
        <v>248</v>
      </c>
      <c r="B223" t="s">
        <v>19</v>
      </c>
      <c r="C223" t="s">
        <v>40</v>
      </c>
      <c r="D223" t="s">
        <v>16</v>
      </c>
      <c r="E223" t="s">
        <v>17</v>
      </c>
      <c r="F223">
        <v>35</v>
      </c>
      <c r="G223">
        <v>145943.85</v>
      </c>
      <c r="H223">
        <v>21</v>
      </c>
      <c r="I223">
        <v>83</v>
      </c>
    </row>
    <row r="224" spans="1:9" x14ac:dyDescent="0.25">
      <c r="A224" t="s">
        <v>249</v>
      </c>
      <c r="B224" t="s">
        <v>19</v>
      </c>
      <c r="C224" t="s">
        <v>11</v>
      </c>
      <c r="D224" t="s">
        <v>12</v>
      </c>
      <c r="E224" t="s">
        <v>17</v>
      </c>
      <c r="F224">
        <v>11</v>
      </c>
      <c r="G224">
        <v>55186.8</v>
      </c>
      <c r="H224">
        <v>2</v>
      </c>
      <c r="I224">
        <v>60</v>
      </c>
    </row>
    <row r="225" spans="1:9" x14ac:dyDescent="0.25">
      <c r="A225" t="s">
        <v>250</v>
      </c>
      <c r="B225" t="s">
        <v>10</v>
      </c>
      <c r="C225" t="s">
        <v>20</v>
      </c>
      <c r="D225" t="s">
        <v>12</v>
      </c>
      <c r="E225" t="s">
        <v>13</v>
      </c>
      <c r="F225">
        <v>28</v>
      </c>
      <c r="G225">
        <v>53935.55</v>
      </c>
      <c r="H225">
        <v>13</v>
      </c>
      <c r="I225">
        <v>63</v>
      </c>
    </row>
    <row r="226" spans="1:9" x14ac:dyDescent="0.25">
      <c r="A226" t="s">
        <v>251</v>
      </c>
      <c r="B226" t="s">
        <v>31</v>
      </c>
      <c r="C226" t="s">
        <v>40</v>
      </c>
      <c r="D226" t="s">
        <v>24</v>
      </c>
      <c r="E226" t="s">
        <v>13</v>
      </c>
      <c r="F226">
        <v>7</v>
      </c>
      <c r="G226">
        <v>33283.31</v>
      </c>
      <c r="H226">
        <v>23</v>
      </c>
      <c r="I226">
        <v>90</v>
      </c>
    </row>
    <row r="227" spans="1:9" x14ac:dyDescent="0.25">
      <c r="A227" t="s">
        <v>252</v>
      </c>
      <c r="B227" t="s">
        <v>10</v>
      </c>
      <c r="C227" t="s">
        <v>40</v>
      </c>
      <c r="D227" t="s">
        <v>21</v>
      </c>
      <c r="E227" t="s">
        <v>17</v>
      </c>
      <c r="F227">
        <v>10</v>
      </c>
      <c r="G227">
        <v>126487.1</v>
      </c>
      <c r="H227">
        <v>20</v>
      </c>
      <c r="I227">
        <v>67</v>
      </c>
    </row>
    <row r="228" spans="1:9" x14ac:dyDescent="0.25">
      <c r="A228" t="s">
        <v>253</v>
      </c>
      <c r="B228" t="s">
        <v>36</v>
      </c>
      <c r="C228" t="s">
        <v>40</v>
      </c>
      <c r="D228" t="s">
        <v>16</v>
      </c>
      <c r="E228" t="s">
        <v>29</v>
      </c>
      <c r="F228">
        <v>85</v>
      </c>
      <c r="G228">
        <v>186558.04</v>
      </c>
      <c r="H228">
        <v>6</v>
      </c>
      <c r="I228">
        <v>86</v>
      </c>
    </row>
    <row r="229" spans="1:9" x14ac:dyDescent="0.25">
      <c r="A229" t="s">
        <v>254</v>
      </c>
      <c r="B229" t="s">
        <v>10</v>
      </c>
      <c r="C229" t="s">
        <v>20</v>
      </c>
      <c r="D229" t="s">
        <v>12</v>
      </c>
      <c r="E229" t="s">
        <v>17</v>
      </c>
      <c r="F229">
        <v>73</v>
      </c>
      <c r="G229">
        <v>46787.74</v>
      </c>
      <c r="H229">
        <v>1</v>
      </c>
      <c r="I229">
        <v>88</v>
      </c>
    </row>
    <row r="230" spans="1:9" x14ac:dyDescent="0.25">
      <c r="A230" t="s">
        <v>255</v>
      </c>
      <c r="B230" t="s">
        <v>19</v>
      </c>
      <c r="C230" t="s">
        <v>11</v>
      </c>
      <c r="D230" t="s">
        <v>26</v>
      </c>
      <c r="E230" t="s">
        <v>13</v>
      </c>
      <c r="F230">
        <v>38</v>
      </c>
      <c r="G230">
        <v>125673.75</v>
      </c>
      <c r="H230">
        <v>11</v>
      </c>
      <c r="I230">
        <v>40</v>
      </c>
    </row>
    <row r="231" spans="1:9" x14ac:dyDescent="0.25">
      <c r="A231" t="s">
        <v>256</v>
      </c>
      <c r="B231" t="s">
        <v>36</v>
      </c>
      <c r="C231" t="s">
        <v>11</v>
      </c>
      <c r="D231" t="s">
        <v>16</v>
      </c>
      <c r="E231" t="s">
        <v>13</v>
      </c>
      <c r="F231">
        <v>80</v>
      </c>
      <c r="G231">
        <v>191826.39</v>
      </c>
      <c r="H231">
        <v>23</v>
      </c>
      <c r="I231">
        <v>55</v>
      </c>
    </row>
    <row r="232" spans="1:9" x14ac:dyDescent="0.25">
      <c r="A232" t="s">
        <v>257</v>
      </c>
      <c r="B232" t="s">
        <v>15</v>
      </c>
      <c r="C232" t="s">
        <v>23</v>
      </c>
      <c r="D232" t="s">
        <v>12</v>
      </c>
      <c r="E232" t="s">
        <v>13</v>
      </c>
      <c r="F232">
        <v>71</v>
      </c>
      <c r="G232">
        <v>182698.44</v>
      </c>
      <c r="H232">
        <v>26</v>
      </c>
      <c r="I232">
        <v>88</v>
      </c>
    </row>
    <row r="233" spans="1:9" x14ac:dyDescent="0.25">
      <c r="A233" t="s">
        <v>258</v>
      </c>
      <c r="B233" t="s">
        <v>34</v>
      </c>
      <c r="C233" t="s">
        <v>40</v>
      </c>
      <c r="D233" t="s">
        <v>26</v>
      </c>
      <c r="E233" t="s">
        <v>29</v>
      </c>
      <c r="F233">
        <v>35</v>
      </c>
      <c r="G233">
        <v>176922.36</v>
      </c>
      <c r="H233">
        <v>21</v>
      </c>
      <c r="I233">
        <v>55</v>
      </c>
    </row>
    <row r="234" spans="1:9" x14ac:dyDescent="0.25">
      <c r="A234" t="s">
        <v>259</v>
      </c>
      <c r="B234" t="s">
        <v>10</v>
      </c>
      <c r="C234" t="s">
        <v>20</v>
      </c>
      <c r="D234" t="s">
        <v>16</v>
      </c>
      <c r="E234" t="s">
        <v>29</v>
      </c>
      <c r="F234">
        <v>18</v>
      </c>
      <c r="G234">
        <v>138937.84</v>
      </c>
      <c r="H234">
        <v>4</v>
      </c>
      <c r="I234">
        <v>49</v>
      </c>
    </row>
    <row r="235" spans="1:9" x14ac:dyDescent="0.25">
      <c r="A235" t="s">
        <v>260</v>
      </c>
      <c r="B235" t="s">
        <v>10</v>
      </c>
      <c r="C235" t="s">
        <v>23</v>
      </c>
      <c r="D235" t="s">
        <v>21</v>
      </c>
      <c r="E235" t="s">
        <v>17</v>
      </c>
      <c r="F235">
        <v>79</v>
      </c>
      <c r="G235">
        <v>176454.3</v>
      </c>
      <c r="H235">
        <v>11</v>
      </c>
      <c r="I235">
        <v>89</v>
      </c>
    </row>
    <row r="236" spans="1:9" x14ac:dyDescent="0.25">
      <c r="A236" t="s">
        <v>261</v>
      </c>
      <c r="B236" t="s">
        <v>19</v>
      </c>
      <c r="C236" t="s">
        <v>11</v>
      </c>
      <c r="D236" t="s">
        <v>12</v>
      </c>
      <c r="E236" t="s">
        <v>13</v>
      </c>
      <c r="F236">
        <v>49</v>
      </c>
      <c r="G236">
        <v>102280.97</v>
      </c>
      <c r="H236">
        <v>30</v>
      </c>
      <c r="I236">
        <v>72</v>
      </c>
    </row>
    <row r="237" spans="1:9" x14ac:dyDescent="0.25">
      <c r="A237" t="s">
        <v>262</v>
      </c>
      <c r="B237" t="s">
        <v>34</v>
      </c>
      <c r="C237" t="s">
        <v>40</v>
      </c>
      <c r="D237" t="s">
        <v>12</v>
      </c>
      <c r="E237" t="s">
        <v>13</v>
      </c>
      <c r="F237">
        <v>39</v>
      </c>
      <c r="G237">
        <v>157815.87</v>
      </c>
      <c r="H237">
        <v>22</v>
      </c>
      <c r="I237">
        <v>96</v>
      </c>
    </row>
    <row r="238" spans="1:9" x14ac:dyDescent="0.25">
      <c r="A238" t="s">
        <v>263</v>
      </c>
      <c r="B238" t="s">
        <v>19</v>
      </c>
      <c r="C238" t="s">
        <v>40</v>
      </c>
      <c r="D238" t="s">
        <v>16</v>
      </c>
      <c r="E238" t="s">
        <v>13</v>
      </c>
      <c r="F238">
        <v>71</v>
      </c>
      <c r="G238">
        <v>103436.46</v>
      </c>
      <c r="H238">
        <v>19</v>
      </c>
      <c r="I238">
        <v>40</v>
      </c>
    </row>
    <row r="239" spans="1:9" x14ac:dyDescent="0.25">
      <c r="A239" t="s">
        <v>264</v>
      </c>
      <c r="B239" t="s">
        <v>36</v>
      </c>
      <c r="C239" t="s">
        <v>20</v>
      </c>
      <c r="D239" t="s">
        <v>26</v>
      </c>
      <c r="E239" t="s">
        <v>17</v>
      </c>
      <c r="F239">
        <v>10</v>
      </c>
      <c r="G239">
        <v>81736.19</v>
      </c>
      <c r="H239">
        <v>14</v>
      </c>
      <c r="I239">
        <v>76</v>
      </c>
    </row>
    <row r="240" spans="1:9" x14ac:dyDescent="0.25">
      <c r="A240" t="s">
        <v>265</v>
      </c>
      <c r="B240" t="s">
        <v>10</v>
      </c>
      <c r="C240" t="s">
        <v>40</v>
      </c>
      <c r="D240" t="s">
        <v>24</v>
      </c>
      <c r="E240" t="s">
        <v>13</v>
      </c>
      <c r="F240">
        <v>18</v>
      </c>
      <c r="G240">
        <v>147155.59</v>
      </c>
      <c r="H240">
        <v>18</v>
      </c>
      <c r="I240">
        <v>51</v>
      </c>
    </row>
    <row r="241" spans="1:9" x14ac:dyDescent="0.25">
      <c r="A241" t="s">
        <v>266</v>
      </c>
      <c r="B241" t="s">
        <v>10</v>
      </c>
      <c r="C241" t="s">
        <v>20</v>
      </c>
      <c r="D241" t="s">
        <v>21</v>
      </c>
      <c r="E241" t="s">
        <v>29</v>
      </c>
      <c r="F241">
        <v>12</v>
      </c>
      <c r="G241">
        <v>134114.44</v>
      </c>
      <c r="H241">
        <v>22</v>
      </c>
      <c r="I241">
        <v>74</v>
      </c>
    </row>
    <row r="242" spans="1:9" x14ac:dyDescent="0.25">
      <c r="A242" t="s">
        <v>267</v>
      </c>
      <c r="B242" t="s">
        <v>19</v>
      </c>
      <c r="C242" t="s">
        <v>20</v>
      </c>
      <c r="D242" t="s">
        <v>26</v>
      </c>
      <c r="E242" t="s">
        <v>13</v>
      </c>
      <c r="F242">
        <v>83</v>
      </c>
      <c r="G242">
        <v>47008.27</v>
      </c>
      <c r="H242">
        <v>23</v>
      </c>
      <c r="I242">
        <v>58</v>
      </c>
    </row>
    <row r="243" spans="1:9" x14ac:dyDescent="0.25">
      <c r="A243" t="s">
        <v>268</v>
      </c>
      <c r="B243" t="s">
        <v>36</v>
      </c>
      <c r="C243" t="s">
        <v>20</v>
      </c>
      <c r="D243" t="s">
        <v>16</v>
      </c>
      <c r="E243" t="s">
        <v>29</v>
      </c>
      <c r="F243">
        <v>60</v>
      </c>
      <c r="G243">
        <v>80388.87</v>
      </c>
      <c r="H243">
        <v>30</v>
      </c>
      <c r="I243">
        <v>77</v>
      </c>
    </row>
    <row r="244" spans="1:9" x14ac:dyDescent="0.25">
      <c r="A244" t="s">
        <v>269</v>
      </c>
      <c r="B244" t="s">
        <v>10</v>
      </c>
      <c r="C244" t="s">
        <v>11</v>
      </c>
      <c r="D244" t="s">
        <v>12</v>
      </c>
      <c r="E244" t="s">
        <v>17</v>
      </c>
      <c r="F244">
        <v>73</v>
      </c>
      <c r="G244">
        <v>11747.81</v>
      </c>
      <c r="H244">
        <v>30</v>
      </c>
      <c r="I244">
        <v>46</v>
      </c>
    </row>
    <row r="245" spans="1:9" x14ac:dyDescent="0.25">
      <c r="A245" t="s">
        <v>270</v>
      </c>
      <c r="B245" t="s">
        <v>15</v>
      </c>
      <c r="C245" t="s">
        <v>20</v>
      </c>
      <c r="D245" t="s">
        <v>16</v>
      </c>
      <c r="E245" t="s">
        <v>29</v>
      </c>
      <c r="F245">
        <v>63</v>
      </c>
      <c r="G245">
        <v>74021.64</v>
      </c>
      <c r="H245">
        <v>2</v>
      </c>
      <c r="I245">
        <v>68</v>
      </c>
    </row>
    <row r="246" spans="1:9" x14ac:dyDescent="0.25">
      <c r="A246" t="s">
        <v>271</v>
      </c>
      <c r="B246" t="s">
        <v>10</v>
      </c>
      <c r="C246" t="s">
        <v>23</v>
      </c>
      <c r="D246" t="s">
        <v>16</v>
      </c>
      <c r="E246" t="s">
        <v>17</v>
      </c>
      <c r="F246">
        <v>83</v>
      </c>
      <c r="G246">
        <v>21897.57</v>
      </c>
      <c r="H246">
        <v>9</v>
      </c>
      <c r="I246">
        <v>46</v>
      </c>
    </row>
    <row r="247" spans="1:9" x14ac:dyDescent="0.25">
      <c r="A247" t="s">
        <v>272</v>
      </c>
      <c r="B247" t="s">
        <v>34</v>
      </c>
      <c r="C247" t="s">
        <v>40</v>
      </c>
      <c r="D247" t="s">
        <v>26</v>
      </c>
      <c r="E247" t="s">
        <v>29</v>
      </c>
      <c r="F247">
        <v>37</v>
      </c>
      <c r="G247">
        <v>69964.509999999995</v>
      </c>
      <c r="H247">
        <v>3</v>
      </c>
      <c r="I247">
        <v>58</v>
      </c>
    </row>
    <row r="248" spans="1:9" x14ac:dyDescent="0.25">
      <c r="A248" t="s">
        <v>273</v>
      </c>
      <c r="B248" t="s">
        <v>19</v>
      </c>
      <c r="C248" t="s">
        <v>20</v>
      </c>
      <c r="D248" t="s">
        <v>26</v>
      </c>
      <c r="E248" t="s">
        <v>17</v>
      </c>
      <c r="F248">
        <v>1</v>
      </c>
      <c r="G248">
        <v>85643.23</v>
      </c>
      <c r="H248">
        <v>15</v>
      </c>
      <c r="I248">
        <v>45</v>
      </c>
    </row>
    <row r="249" spans="1:9" x14ac:dyDescent="0.25">
      <c r="A249" t="s">
        <v>274</v>
      </c>
      <c r="B249" t="s">
        <v>31</v>
      </c>
      <c r="C249" t="s">
        <v>40</v>
      </c>
      <c r="D249" t="s">
        <v>26</v>
      </c>
      <c r="E249" t="s">
        <v>17</v>
      </c>
      <c r="F249">
        <v>2</v>
      </c>
      <c r="G249">
        <v>197349.1</v>
      </c>
      <c r="H249">
        <v>20</v>
      </c>
      <c r="I249">
        <v>72</v>
      </c>
    </row>
    <row r="250" spans="1:9" x14ac:dyDescent="0.25">
      <c r="A250" t="s">
        <v>275</v>
      </c>
      <c r="B250" t="s">
        <v>34</v>
      </c>
      <c r="C250" t="s">
        <v>20</v>
      </c>
      <c r="D250" t="s">
        <v>26</v>
      </c>
      <c r="E250" t="s">
        <v>13</v>
      </c>
      <c r="F250">
        <v>86</v>
      </c>
      <c r="G250">
        <v>190398.07</v>
      </c>
      <c r="H250">
        <v>14</v>
      </c>
      <c r="I250">
        <v>76</v>
      </c>
    </row>
    <row r="251" spans="1:9" x14ac:dyDescent="0.25">
      <c r="A251" t="s">
        <v>276</v>
      </c>
      <c r="B251" t="s">
        <v>10</v>
      </c>
      <c r="C251" t="s">
        <v>20</v>
      </c>
      <c r="D251" t="s">
        <v>16</v>
      </c>
      <c r="E251" t="s">
        <v>13</v>
      </c>
      <c r="F251">
        <v>67</v>
      </c>
      <c r="G251">
        <v>4643.7299999999996</v>
      </c>
      <c r="H251">
        <v>3</v>
      </c>
      <c r="I251">
        <v>93</v>
      </c>
    </row>
    <row r="252" spans="1:9" x14ac:dyDescent="0.25">
      <c r="A252" t="s">
        <v>277</v>
      </c>
      <c r="B252" t="s">
        <v>15</v>
      </c>
      <c r="C252" t="s">
        <v>23</v>
      </c>
      <c r="D252" t="s">
        <v>16</v>
      </c>
      <c r="E252" t="s">
        <v>17</v>
      </c>
      <c r="F252">
        <v>56</v>
      </c>
      <c r="G252">
        <v>81202.13</v>
      </c>
      <c r="H252">
        <v>21</v>
      </c>
      <c r="I252">
        <v>87</v>
      </c>
    </row>
    <row r="253" spans="1:9" x14ac:dyDescent="0.25">
      <c r="A253" t="s">
        <v>278</v>
      </c>
      <c r="B253" t="s">
        <v>19</v>
      </c>
      <c r="C253" t="s">
        <v>23</v>
      </c>
      <c r="D253" t="s">
        <v>16</v>
      </c>
      <c r="E253" t="s">
        <v>13</v>
      </c>
      <c r="F253">
        <v>81</v>
      </c>
      <c r="G253">
        <v>99791.21</v>
      </c>
      <c r="H253">
        <v>24</v>
      </c>
      <c r="I253">
        <v>100</v>
      </c>
    </row>
    <row r="254" spans="1:9" x14ac:dyDescent="0.25">
      <c r="A254" t="s">
        <v>279</v>
      </c>
      <c r="B254" t="s">
        <v>31</v>
      </c>
      <c r="C254" t="s">
        <v>23</v>
      </c>
      <c r="D254" t="s">
        <v>24</v>
      </c>
      <c r="E254" t="s">
        <v>13</v>
      </c>
      <c r="F254">
        <v>82</v>
      </c>
      <c r="G254">
        <v>100432.07</v>
      </c>
      <c r="H254">
        <v>11</v>
      </c>
      <c r="I254">
        <v>73</v>
      </c>
    </row>
    <row r="255" spans="1:9" x14ac:dyDescent="0.25">
      <c r="A255" t="s">
        <v>280</v>
      </c>
      <c r="B255" t="s">
        <v>31</v>
      </c>
      <c r="C255" t="s">
        <v>23</v>
      </c>
      <c r="D255" t="s">
        <v>26</v>
      </c>
      <c r="E255" t="s">
        <v>17</v>
      </c>
      <c r="F255">
        <v>69</v>
      </c>
      <c r="G255">
        <v>57361.02</v>
      </c>
      <c r="H255">
        <v>20</v>
      </c>
      <c r="I255">
        <v>81</v>
      </c>
    </row>
    <row r="256" spans="1:9" x14ac:dyDescent="0.25">
      <c r="A256" t="s">
        <v>281</v>
      </c>
      <c r="B256" t="s">
        <v>19</v>
      </c>
      <c r="C256" t="s">
        <v>11</v>
      </c>
      <c r="D256" t="s">
        <v>16</v>
      </c>
      <c r="E256" t="s">
        <v>13</v>
      </c>
      <c r="F256">
        <v>20</v>
      </c>
      <c r="G256">
        <v>139280.57999999999</v>
      </c>
      <c r="H256">
        <v>7</v>
      </c>
      <c r="I256">
        <v>95</v>
      </c>
    </row>
    <row r="257" spans="1:9" x14ac:dyDescent="0.25">
      <c r="A257" t="s">
        <v>282</v>
      </c>
      <c r="B257" t="s">
        <v>36</v>
      </c>
      <c r="C257" t="s">
        <v>20</v>
      </c>
      <c r="D257" t="s">
        <v>12</v>
      </c>
      <c r="E257" t="s">
        <v>13</v>
      </c>
      <c r="F257">
        <v>52</v>
      </c>
      <c r="G257">
        <v>185590.17</v>
      </c>
      <c r="H257">
        <v>7</v>
      </c>
      <c r="I257">
        <v>73</v>
      </c>
    </row>
    <row r="258" spans="1:9" x14ac:dyDescent="0.25">
      <c r="A258" t="s">
        <v>283</v>
      </c>
      <c r="B258" t="s">
        <v>36</v>
      </c>
      <c r="C258" t="s">
        <v>11</v>
      </c>
      <c r="D258" t="s">
        <v>21</v>
      </c>
      <c r="E258" t="s">
        <v>13</v>
      </c>
      <c r="F258">
        <v>39</v>
      </c>
      <c r="G258">
        <v>172008.83</v>
      </c>
      <c r="H258">
        <v>29</v>
      </c>
      <c r="I258">
        <v>98</v>
      </c>
    </row>
    <row r="259" spans="1:9" x14ac:dyDescent="0.25">
      <c r="A259" t="s">
        <v>284</v>
      </c>
      <c r="B259" t="s">
        <v>36</v>
      </c>
      <c r="C259" t="s">
        <v>23</v>
      </c>
      <c r="D259" t="s">
        <v>16</v>
      </c>
      <c r="E259" t="s">
        <v>17</v>
      </c>
      <c r="F259">
        <v>46</v>
      </c>
      <c r="G259">
        <v>31788.97</v>
      </c>
      <c r="H259">
        <v>10</v>
      </c>
      <c r="I259">
        <v>84</v>
      </c>
    </row>
    <row r="260" spans="1:9" x14ac:dyDescent="0.25">
      <c r="A260" t="s">
        <v>285</v>
      </c>
      <c r="B260" t="s">
        <v>19</v>
      </c>
      <c r="C260" t="s">
        <v>40</v>
      </c>
      <c r="D260" t="s">
        <v>21</v>
      </c>
      <c r="E260" t="s">
        <v>17</v>
      </c>
      <c r="F260">
        <v>64</v>
      </c>
      <c r="G260">
        <v>94958.92</v>
      </c>
      <c r="H260">
        <v>6</v>
      </c>
      <c r="I260">
        <v>75</v>
      </c>
    </row>
    <row r="261" spans="1:9" x14ac:dyDescent="0.25">
      <c r="A261" t="s">
        <v>286</v>
      </c>
      <c r="B261" t="s">
        <v>36</v>
      </c>
      <c r="C261" t="s">
        <v>20</v>
      </c>
      <c r="D261" t="s">
        <v>24</v>
      </c>
      <c r="E261" t="s">
        <v>17</v>
      </c>
      <c r="F261">
        <v>46</v>
      </c>
      <c r="G261">
        <v>35354.32</v>
      </c>
      <c r="H261">
        <v>6</v>
      </c>
      <c r="I261">
        <v>54</v>
      </c>
    </row>
    <row r="262" spans="1:9" x14ac:dyDescent="0.25">
      <c r="A262" t="s">
        <v>287</v>
      </c>
      <c r="B262" t="s">
        <v>19</v>
      </c>
      <c r="C262" t="s">
        <v>40</v>
      </c>
      <c r="D262" t="s">
        <v>12</v>
      </c>
      <c r="E262" t="s">
        <v>29</v>
      </c>
      <c r="F262">
        <v>51</v>
      </c>
      <c r="G262">
        <v>160028.20000000001</v>
      </c>
      <c r="H262">
        <v>4</v>
      </c>
      <c r="I262">
        <v>63</v>
      </c>
    </row>
    <row r="263" spans="1:9" x14ac:dyDescent="0.25">
      <c r="A263" t="s">
        <v>288</v>
      </c>
      <c r="B263" t="s">
        <v>19</v>
      </c>
      <c r="C263" t="s">
        <v>20</v>
      </c>
      <c r="D263" t="s">
        <v>16</v>
      </c>
      <c r="E263" t="s">
        <v>17</v>
      </c>
      <c r="F263">
        <v>63</v>
      </c>
      <c r="G263">
        <v>59234.9</v>
      </c>
      <c r="H263">
        <v>15</v>
      </c>
      <c r="I263">
        <v>81</v>
      </c>
    </row>
    <row r="264" spans="1:9" x14ac:dyDescent="0.25">
      <c r="A264" t="s">
        <v>289</v>
      </c>
      <c r="B264" t="s">
        <v>19</v>
      </c>
      <c r="C264" t="s">
        <v>23</v>
      </c>
      <c r="D264" t="s">
        <v>16</v>
      </c>
      <c r="E264" t="s">
        <v>13</v>
      </c>
      <c r="F264">
        <v>90</v>
      </c>
      <c r="G264">
        <v>16356.72</v>
      </c>
      <c r="H264">
        <v>10</v>
      </c>
      <c r="I264">
        <v>58</v>
      </c>
    </row>
    <row r="265" spans="1:9" x14ac:dyDescent="0.25">
      <c r="A265" t="s">
        <v>290</v>
      </c>
      <c r="B265" t="s">
        <v>34</v>
      </c>
      <c r="C265" t="s">
        <v>20</v>
      </c>
      <c r="D265" t="s">
        <v>26</v>
      </c>
      <c r="E265" t="s">
        <v>17</v>
      </c>
      <c r="F265">
        <v>44</v>
      </c>
      <c r="G265">
        <v>17283.400000000001</v>
      </c>
      <c r="H265">
        <v>17</v>
      </c>
      <c r="I265">
        <v>67</v>
      </c>
    </row>
    <row r="266" spans="1:9" x14ac:dyDescent="0.25">
      <c r="A266" t="s">
        <v>291</v>
      </c>
      <c r="B266" t="s">
        <v>34</v>
      </c>
      <c r="C266" t="s">
        <v>23</v>
      </c>
      <c r="D266" t="s">
        <v>12</v>
      </c>
      <c r="E266" t="s">
        <v>29</v>
      </c>
      <c r="F266">
        <v>50</v>
      </c>
      <c r="G266">
        <v>175268.68</v>
      </c>
      <c r="H266">
        <v>22</v>
      </c>
      <c r="I266">
        <v>44</v>
      </c>
    </row>
    <row r="267" spans="1:9" x14ac:dyDescent="0.25">
      <c r="A267" t="s">
        <v>292</v>
      </c>
      <c r="B267" t="s">
        <v>19</v>
      </c>
      <c r="C267" t="s">
        <v>40</v>
      </c>
      <c r="D267" t="s">
        <v>16</v>
      </c>
      <c r="E267" t="s">
        <v>29</v>
      </c>
      <c r="F267">
        <v>40</v>
      </c>
      <c r="G267">
        <v>166151.92000000001</v>
      </c>
      <c r="H267">
        <v>1</v>
      </c>
      <c r="I267">
        <v>95</v>
      </c>
    </row>
    <row r="268" spans="1:9" x14ac:dyDescent="0.25">
      <c r="A268" t="s">
        <v>293</v>
      </c>
      <c r="B268" t="s">
        <v>15</v>
      </c>
      <c r="C268" t="s">
        <v>20</v>
      </c>
      <c r="D268" t="s">
        <v>21</v>
      </c>
      <c r="E268" t="s">
        <v>29</v>
      </c>
      <c r="F268">
        <v>47</v>
      </c>
      <c r="G268">
        <v>31587.83</v>
      </c>
      <c r="H268">
        <v>20</v>
      </c>
      <c r="I268">
        <v>78</v>
      </c>
    </row>
    <row r="269" spans="1:9" x14ac:dyDescent="0.25">
      <c r="A269" t="s">
        <v>294</v>
      </c>
      <c r="B269" t="s">
        <v>36</v>
      </c>
      <c r="C269" t="s">
        <v>11</v>
      </c>
      <c r="D269" t="s">
        <v>26</v>
      </c>
      <c r="E269" t="s">
        <v>17</v>
      </c>
      <c r="F269">
        <v>64</v>
      </c>
      <c r="G269">
        <v>113655.92</v>
      </c>
      <c r="H269">
        <v>16</v>
      </c>
      <c r="I269">
        <v>70</v>
      </c>
    </row>
    <row r="270" spans="1:9" x14ac:dyDescent="0.25">
      <c r="A270" t="s">
        <v>295</v>
      </c>
      <c r="B270" t="s">
        <v>34</v>
      </c>
      <c r="C270" t="s">
        <v>23</v>
      </c>
      <c r="D270" t="s">
        <v>12</v>
      </c>
      <c r="E270" t="s">
        <v>13</v>
      </c>
      <c r="F270">
        <v>52</v>
      </c>
      <c r="G270">
        <v>175628.23</v>
      </c>
      <c r="H270">
        <v>1</v>
      </c>
      <c r="I270">
        <v>94</v>
      </c>
    </row>
    <row r="271" spans="1:9" x14ac:dyDescent="0.25">
      <c r="A271" t="s">
        <v>296</v>
      </c>
      <c r="B271" t="s">
        <v>36</v>
      </c>
      <c r="C271" t="s">
        <v>20</v>
      </c>
      <c r="D271" t="s">
        <v>21</v>
      </c>
      <c r="E271" t="s">
        <v>13</v>
      </c>
      <c r="F271">
        <v>11</v>
      </c>
      <c r="G271">
        <v>69850.91</v>
      </c>
      <c r="H271">
        <v>16</v>
      </c>
      <c r="I271">
        <v>99</v>
      </c>
    </row>
    <row r="272" spans="1:9" x14ac:dyDescent="0.25">
      <c r="A272" t="s">
        <v>297</v>
      </c>
      <c r="B272" t="s">
        <v>19</v>
      </c>
      <c r="C272" t="s">
        <v>20</v>
      </c>
      <c r="D272" t="s">
        <v>12</v>
      </c>
      <c r="E272" t="s">
        <v>13</v>
      </c>
      <c r="F272">
        <v>80</v>
      </c>
      <c r="G272">
        <v>133327.62</v>
      </c>
      <c r="H272">
        <v>4</v>
      </c>
      <c r="I272">
        <v>87</v>
      </c>
    </row>
    <row r="273" spans="1:9" x14ac:dyDescent="0.25">
      <c r="A273" t="s">
        <v>298</v>
      </c>
      <c r="B273" t="s">
        <v>10</v>
      </c>
      <c r="C273" t="s">
        <v>40</v>
      </c>
      <c r="D273" t="s">
        <v>21</v>
      </c>
      <c r="E273" t="s">
        <v>17</v>
      </c>
      <c r="F273">
        <v>14</v>
      </c>
      <c r="G273">
        <v>7932.58</v>
      </c>
      <c r="H273">
        <v>2</v>
      </c>
      <c r="I273">
        <v>84</v>
      </c>
    </row>
    <row r="274" spans="1:9" x14ac:dyDescent="0.25">
      <c r="A274" t="s">
        <v>299</v>
      </c>
      <c r="B274" t="s">
        <v>10</v>
      </c>
      <c r="C274" t="s">
        <v>23</v>
      </c>
      <c r="D274" t="s">
        <v>26</v>
      </c>
      <c r="E274" t="s">
        <v>29</v>
      </c>
      <c r="F274">
        <v>28</v>
      </c>
      <c r="G274">
        <v>169402.17</v>
      </c>
      <c r="H274">
        <v>13</v>
      </c>
      <c r="I274">
        <v>84</v>
      </c>
    </row>
    <row r="275" spans="1:9" x14ac:dyDescent="0.25">
      <c r="A275" t="s">
        <v>300</v>
      </c>
      <c r="B275" t="s">
        <v>34</v>
      </c>
      <c r="C275" t="s">
        <v>40</v>
      </c>
      <c r="D275" t="s">
        <v>16</v>
      </c>
      <c r="E275" t="s">
        <v>29</v>
      </c>
      <c r="F275">
        <v>17</v>
      </c>
      <c r="G275">
        <v>199869.24</v>
      </c>
      <c r="H275">
        <v>27</v>
      </c>
      <c r="I275">
        <v>87</v>
      </c>
    </row>
    <row r="276" spans="1:9" x14ac:dyDescent="0.25">
      <c r="A276" t="s">
        <v>301</v>
      </c>
      <c r="B276" t="s">
        <v>34</v>
      </c>
      <c r="C276" t="s">
        <v>23</v>
      </c>
      <c r="D276" t="s">
        <v>12</v>
      </c>
      <c r="E276" t="s">
        <v>17</v>
      </c>
      <c r="F276">
        <v>15</v>
      </c>
      <c r="G276">
        <v>137080.39000000001</v>
      </c>
      <c r="H276">
        <v>23</v>
      </c>
      <c r="I276">
        <v>79</v>
      </c>
    </row>
    <row r="277" spans="1:9" x14ac:dyDescent="0.25">
      <c r="A277" t="s">
        <v>302</v>
      </c>
      <c r="B277" t="s">
        <v>10</v>
      </c>
      <c r="C277" t="s">
        <v>40</v>
      </c>
      <c r="D277" t="s">
        <v>12</v>
      </c>
      <c r="E277" t="s">
        <v>17</v>
      </c>
      <c r="F277">
        <v>50</v>
      </c>
      <c r="G277">
        <v>125128.76</v>
      </c>
      <c r="H277">
        <v>12</v>
      </c>
      <c r="I277">
        <v>60</v>
      </c>
    </row>
    <row r="278" spans="1:9" x14ac:dyDescent="0.25">
      <c r="A278" t="s">
        <v>303</v>
      </c>
      <c r="B278" t="s">
        <v>10</v>
      </c>
      <c r="C278" t="s">
        <v>11</v>
      </c>
      <c r="D278" t="s">
        <v>16</v>
      </c>
      <c r="E278" t="s">
        <v>17</v>
      </c>
      <c r="F278">
        <v>88</v>
      </c>
      <c r="G278">
        <v>62838.01</v>
      </c>
      <c r="H278">
        <v>30</v>
      </c>
      <c r="I278">
        <v>79</v>
      </c>
    </row>
    <row r="279" spans="1:9" x14ac:dyDescent="0.25">
      <c r="A279" t="s">
        <v>304</v>
      </c>
      <c r="B279" t="s">
        <v>19</v>
      </c>
      <c r="C279" t="s">
        <v>40</v>
      </c>
      <c r="D279" t="s">
        <v>24</v>
      </c>
      <c r="E279" t="s">
        <v>29</v>
      </c>
      <c r="F279">
        <v>39</v>
      </c>
      <c r="G279">
        <v>106824.76</v>
      </c>
      <c r="H279">
        <v>17</v>
      </c>
      <c r="I279">
        <v>71</v>
      </c>
    </row>
    <row r="280" spans="1:9" x14ac:dyDescent="0.25">
      <c r="A280" t="s">
        <v>305</v>
      </c>
      <c r="B280" t="s">
        <v>36</v>
      </c>
      <c r="C280" t="s">
        <v>40</v>
      </c>
      <c r="D280" t="s">
        <v>21</v>
      </c>
      <c r="E280" t="s">
        <v>29</v>
      </c>
      <c r="F280">
        <v>44</v>
      </c>
      <c r="G280">
        <v>23060.74</v>
      </c>
      <c r="H280">
        <v>5</v>
      </c>
      <c r="I280">
        <v>41</v>
      </c>
    </row>
    <row r="281" spans="1:9" x14ac:dyDescent="0.25">
      <c r="A281" t="s">
        <v>306</v>
      </c>
      <c r="B281" t="s">
        <v>19</v>
      </c>
      <c r="C281" t="s">
        <v>40</v>
      </c>
      <c r="D281" t="s">
        <v>26</v>
      </c>
      <c r="E281" t="s">
        <v>17</v>
      </c>
      <c r="F281">
        <v>17</v>
      </c>
      <c r="G281">
        <v>86957.89</v>
      </c>
      <c r="H281">
        <v>8</v>
      </c>
      <c r="I281">
        <v>59</v>
      </c>
    </row>
    <row r="282" spans="1:9" x14ac:dyDescent="0.25">
      <c r="A282" t="s">
        <v>307</v>
      </c>
      <c r="B282" t="s">
        <v>34</v>
      </c>
      <c r="C282" t="s">
        <v>23</v>
      </c>
      <c r="D282" t="s">
        <v>16</v>
      </c>
      <c r="E282" t="s">
        <v>13</v>
      </c>
      <c r="F282">
        <v>9</v>
      </c>
      <c r="G282">
        <v>137900.64000000001</v>
      </c>
      <c r="H282">
        <v>14</v>
      </c>
      <c r="I282">
        <v>64</v>
      </c>
    </row>
    <row r="283" spans="1:9" x14ac:dyDescent="0.25">
      <c r="A283" t="s">
        <v>308</v>
      </c>
      <c r="B283" t="s">
        <v>15</v>
      </c>
      <c r="C283" t="s">
        <v>40</v>
      </c>
      <c r="D283" t="s">
        <v>24</v>
      </c>
      <c r="E283" t="s">
        <v>17</v>
      </c>
      <c r="F283">
        <v>64</v>
      </c>
      <c r="G283">
        <v>50962.15</v>
      </c>
      <c r="H283">
        <v>25</v>
      </c>
      <c r="I283">
        <v>65</v>
      </c>
    </row>
    <row r="284" spans="1:9" x14ac:dyDescent="0.25">
      <c r="A284" t="s">
        <v>309</v>
      </c>
      <c r="B284" t="s">
        <v>19</v>
      </c>
      <c r="C284" t="s">
        <v>23</v>
      </c>
      <c r="D284" t="s">
        <v>24</v>
      </c>
      <c r="E284" t="s">
        <v>13</v>
      </c>
      <c r="F284">
        <v>68</v>
      </c>
      <c r="G284">
        <v>35147.9</v>
      </c>
      <c r="H284">
        <v>25</v>
      </c>
      <c r="I284">
        <v>51</v>
      </c>
    </row>
    <row r="285" spans="1:9" x14ac:dyDescent="0.25">
      <c r="A285" t="s">
        <v>310</v>
      </c>
      <c r="B285" t="s">
        <v>36</v>
      </c>
      <c r="C285" t="s">
        <v>20</v>
      </c>
      <c r="D285" t="s">
        <v>24</v>
      </c>
      <c r="E285" t="s">
        <v>17</v>
      </c>
      <c r="F285">
        <v>31</v>
      </c>
      <c r="G285">
        <v>137726.19</v>
      </c>
      <c r="H285">
        <v>9</v>
      </c>
      <c r="I285">
        <v>71</v>
      </c>
    </row>
    <row r="286" spans="1:9" x14ac:dyDescent="0.25">
      <c r="A286" t="s">
        <v>311</v>
      </c>
      <c r="B286" t="s">
        <v>19</v>
      </c>
      <c r="C286" t="s">
        <v>11</v>
      </c>
      <c r="D286" t="s">
        <v>21</v>
      </c>
      <c r="E286" t="s">
        <v>17</v>
      </c>
      <c r="F286">
        <v>59</v>
      </c>
      <c r="G286">
        <v>117445.87</v>
      </c>
      <c r="H286">
        <v>1</v>
      </c>
      <c r="I286">
        <v>89</v>
      </c>
    </row>
    <row r="287" spans="1:9" x14ac:dyDescent="0.25">
      <c r="A287" t="s">
        <v>312</v>
      </c>
      <c r="B287" t="s">
        <v>31</v>
      </c>
      <c r="C287" t="s">
        <v>20</v>
      </c>
      <c r="D287" t="s">
        <v>21</v>
      </c>
      <c r="E287" t="s">
        <v>13</v>
      </c>
      <c r="F287">
        <v>12</v>
      </c>
      <c r="G287">
        <v>135749.99</v>
      </c>
      <c r="H287">
        <v>24</v>
      </c>
      <c r="I287">
        <v>70</v>
      </c>
    </row>
    <row r="288" spans="1:9" x14ac:dyDescent="0.25">
      <c r="A288" t="s">
        <v>313</v>
      </c>
      <c r="B288" t="s">
        <v>15</v>
      </c>
      <c r="C288" t="s">
        <v>20</v>
      </c>
      <c r="D288" t="s">
        <v>24</v>
      </c>
      <c r="E288" t="s">
        <v>13</v>
      </c>
      <c r="F288">
        <v>79</v>
      </c>
      <c r="G288">
        <v>24390.05</v>
      </c>
      <c r="H288">
        <v>17</v>
      </c>
      <c r="I288">
        <v>51</v>
      </c>
    </row>
    <row r="289" spans="1:9" x14ac:dyDescent="0.25">
      <c r="A289" t="s">
        <v>314</v>
      </c>
      <c r="B289" t="s">
        <v>19</v>
      </c>
      <c r="C289" t="s">
        <v>40</v>
      </c>
      <c r="D289" t="s">
        <v>26</v>
      </c>
      <c r="E289" t="s">
        <v>13</v>
      </c>
      <c r="F289">
        <v>82</v>
      </c>
      <c r="G289">
        <v>109766.23</v>
      </c>
      <c r="H289">
        <v>13</v>
      </c>
      <c r="I289">
        <v>57</v>
      </c>
    </row>
    <row r="290" spans="1:9" x14ac:dyDescent="0.25">
      <c r="A290" t="s">
        <v>315</v>
      </c>
      <c r="B290" t="s">
        <v>34</v>
      </c>
      <c r="C290" t="s">
        <v>11</v>
      </c>
      <c r="D290" t="s">
        <v>21</v>
      </c>
      <c r="E290" t="s">
        <v>17</v>
      </c>
      <c r="F290">
        <v>7</v>
      </c>
      <c r="G290">
        <v>30643.19</v>
      </c>
      <c r="H290">
        <v>13</v>
      </c>
      <c r="I290">
        <v>75</v>
      </c>
    </row>
    <row r="291" spans="1:9" x14ac:dyDescent="0.25">
      <c r="A291" t="s">
        <v>316</v>
      </c>
      <c r="B291" t="s">
        <v>34</v>
      </c>
      <c r="C291" t="s">
        <v>11</v>
      </c>
      <c r="D291" t="s">
        <v>12</v>
      </c>
      <c r="E291" t="s">
        <v>17</v>
      </c>
      <c r="F291">
        <v>56</v>
      </c>
      <c r="G291">
        <v>108867.8</v>
      </c>
      <c r="H291">
        <v>17</v>
      </c>
      <c r="I291">
        <v>74</v>
      </c>
    </row>
    <row r="292" spans="1:9" x14ac:dyDescent="0.25">
      <c r="A292" t="s">
        <v>317</v>
      </c>
      <c r="B292" t="s">
        <v>31</v>
      </c>
      <c r="C292" t="s">
        <v>23</v>
      </c>
      <c r="D292" t="s">
        <v>12</v>
      </c>
      <c r="E292" t="s">
        <v>29</v>
      </c>
      <c r="F292">
        <v>32</v>
      </c>
      <c r="G292">
        <v>142241.79</v>
      </c>
      <c r="H292">
        <v>19</v>
      </c>
      <c r="I292">
        <v>62</v>
      </c>
    </row>
    <row r="293" spans="1:9" x14ac:dyDescent="0.25">
      <c r="A293" t="s">
        <v>318</v>
      </c>
      <c r="B293" t="s">
        <v>34</v>
      </c>
      <c r="C293" t="s">
        <v>40</v>
      </c>
      <c r="D293" t="s">
        <v>26</v>
      </c>
      <c r="E293" t="s">
        <v>13</v>
      </c>
      <c r="F293">
        <v>53</v>
      </c>
      <c r="G293">
        <v>33286.449999999997</v>
      </c>
      <c r="H293">
        <v>17</v>
      </c>
      <c r="I293">
        <v>83</v>
      </c>
    </row>
    <row r="294" spans="1:9" x14ac:dyDescent="0.25">
      <c r="A294" t="s">
        <v>319</v>
      </c>
      <c r="B294" t="s">
        <v>34</v>
      </c>
      <c r="C294" t="s">
        <v>11</v>
      </c>
      <c r="D294" t="s">
        <v>12</v>
      </c>
      <c r="E294" t="s">
        <v>17</v>
      </c>
      <c r="F294">
        <v>7</v>
      </c>
      <c r="G294">
        <v>70999.03</v>
      </c>
      <c r="H294">
        <v>7</v>
      </c>
      <c r="I294">
        <v>55</v>
      </c>
    </row>
    <row r="295" spans="1:9" x14ac:dyDescent="0.25">
      <c r="A295" t="s">
        <v>320</v>
      </c>
      <c r="B295" t="s">
        <v>36</v>
      </c>
      <c r="C295" t="s">
        <v>23</v>
      </c>
      <c r="D295" t="s">
        <v>12</v>
      </c>
      <c r="E295" t="s">
        <v>29</v>
      </c>
      <c r="F295">
        <v>71</v>
      </c>
      <c r="G295">
        <v>18285.22</v>
      </c>
      <c r="H295">
        <v>3</v>
      </c>
      <c r="I295">
        <v>50</v>
      </c>
    </row>
    <row r="296" spans="1:9" x14ac:dyDescent="0.25">
      <c r="A296" t="s">
        <v>321</v>
      </c>
      <c r="B296" t="s">
        <v>31</v>
      </c>
      <c r="C296" t="s">
        <v>23</v>
      </c>
      <c r="D296" t="s">
        <v>16</v>
      </c>
      <c r="E296" t="s">
        <v>17</v>
      </c>
      <c r="F296">
        <v>27</v>
      </c>
      <c r="G296">
        <v>108969.85</v>
      </c>
      <c r="H296">
        <v>12</v>
      </c>
      <c r="I296">
        <v>47</v>
      </c>
    </row>
    <row r="297" spans="1:9" x14ac:dyDescent="0.25">
      <c r="A297" t="s">
        <v>322</v>
      </c>
      <c r="B297" t="s">
        <v>34</v>
      </c>
      <c r="C297" t="s">
        <v>40</v>
      </c>
      <c r="D297" t="s">
        <v>26</v>
      </c>
      <c r="E297" t="s">
        <v>17</v>
      </c>
      <c r="F297">
        <v>90</v>
      </c>
      <c r="G297">
        <v>30781.93</v>
      </c>
      <c r="H297">
        <v>7</v>
      </c>
      <c r="I297">
        <v>91</v>
      </c>
    </row>
    <row r="298" spans="1:9" x14ac:dyDescent="0.25">
      <c r="A298" t="s">
        <v>323</v>
      </c>
      <c r="B298" t="s">
        <v>34</v>
      </c>
      <c r="C298" t="s">
        <v>20</v>
      </c>
      <c r="D298" t="s">
        <v>21</v>
      </c>
      <c r="E298" t="s">
        <v>17</v>
      </c>
      <c r="F298">
        <v>79</v>
      </c>
      <c r="G298">
        <v>60734.48</v>
      </c>
      <c r="H298">
        <v>28</v>
      </c>
      <c r="I298">
        <v>66</v>
      </c>
    </row>
    <row r="299" spans="1:9" x14ac:dyDescent="0.25">
      <c r="A299" t="s">
        <v>324</v>
      </c>
      <c r="B299" t="s">
        <v>31</v>
      </c>
      <c r="C299" t="s">
        <v>20</v>
      </c>
      <c r="D299" t="s">
        <v>16</v>
      </c>
      <c r="E299" t="s">
        <v>17</v>
      </c>
      <c r="F299">
        <v>34</v>
      </c>
      <c r="G299">
        <v>73054.080000000002</v>
      </c>
      <c r="H299">
        <v>29</v>
      </c>
      <c r="I299">
        <v>46</v>
      </c>
    </row>
    <row r="300" spans="1:9" x14ac:dyDescent="0.25">
      <c r="A300" t="s">
        <v>325</v>
      </c>
      <c r="B300" t="s">
        <v>36</v>
      </c>
      <c r="C300" t="s">
        <v>40</v>
      </c>
      <c r="D300" t="s">
        <v>12</v>
      </c>
      <c r="E300" t="s">
        <v>17</v>
      </c>
      <c r="F300">
        <v>75</v>
      </c>
      <c r="G300">
        <v>196841.25</v>
      </c>
      <c r="H300">
        <v>26</v>
      </c>
      <c r="I300">
        <v>59</v>
      </c>
    </row>
    <row r="301" spans="1:9" x14ac:dyDescent="0.25">
      <c r="A301" t="s">
        <v>326</v>
      </c>
      <c r="B301" t="s">
        <v>19</v>
      </c>
      <c r="C301" t="s">
        <v>20</v>
      </c>
      <c r="D301" t="s">
        <v>16</v>
      </c>
      <c r="E301" t="s">
        <v>29</v>
      </c>
      <c r="F301">
        <v>73</v>
      </c>
      <c r="G301">
        <v>121165.95</v>
      </c>
      <c r="H301">
        <v>5</v>
      </c>
      <c r="I301">
        <v>83</v>
      </c>
    </row>
    <row r="302" spans="1:9" x14ac:dyDescent="0.25">
      <c r="A302" t="s">
        <v>327</v>
      </c>
      <c r="B302" t="s">
        <v>10</v>
      </c>
      <c r="C302" t="s">
        <v>11</v>
      </c>
      <c r="D302" t="s">
        <v>12</v>
      </c>
      <c r="E302" t="s">
        <v>29</v>
      </c>
      <c r="F302">
        <v>40</v>
      </c>
      <c r="G302">
        <v>146554.85</v>
      </c>
      <c r="H302">
        <v>23</v>
      </c>
      <c r="I302">
        <v>52</v>
      </c>
    </row>
    <row r="303" spans="1:9" x14ac:dyDescent="0.25">
      <c r="A303" t="s">
        <v>328</v>
      </c>
      <c r="B303" t="s">
        <v>19</v>
      </c>
      <c r="C303" t="s">
        <v>40</v>
      </c>
      <c r="D303" t="s">
        <v>26</v>
      </c>
      <c r="E303" t="s">
        <v>17</v>
      </c>
      <c r="F303">
        <v>71</v>
      </c>
      <c r="G303">
        <v>197491.32</v>
      </c>
      <c r="H303">
        <v>15</v>
      </c>
      <c r="I303">
        <v>44</v>
      </c>
    </row>
    <row r="304" spans="1:9" x14ac:dyDescent="0.25">
      <c r="A304" t="s">
        <v>329</v>
      </c>
      <c r="B304" t="s">
        <v>34</v>
      </c>
      <c r="C304" t="s">
        <v>23</v>
      </c>
      <c r="D304" t="s">
        <v>16</v>
      </c>
      <c r="E304" t="s">
        <v>13</v>
      </c>
      <c r="F304">
        <v>61</v>
      </c>
      <c r="G304">
        <v>37774.18</v>
      </c>
      <c r="H304">
        <v>16</v>
      </c>
      <c r="I304">
        <v>59</v>
      </c>
    </row>
    <row r="305" spans="1:9" x14ac:dyDescent="0.25">
      <c r="A305" t="s">
        <v>330</v>
      </c>
      <c r="B305" t="s">
        <v>36</v>
      </c>
      <c r="C305" t="s">
        <v>11</v>
      </c>
      <c r="D305" t="s">
        <v>24</v>
      </c>
      <c r="E305" t="s">
        <v>13</v>
      </c>
      <c r="F305">
        <v>35</v>
      </c>
      <c r="G305">
        <v>154307.26</v>
      </c>
      <c r="H305">
        <v>26</v>
      </c>
      <c r="I305">
        <v>76</v>
      </c>
    </row>
    <row r="306" spans="1:9" x14ac:dyDescent="0.25">
      <c r="A306" t="s">
        <v>331</v>
      </c>
      <c r="B306" t="s">
        <v>15</v>
      </c>
      <c r="C306" t="s">
        <v>11</v>
      </c>
      <c r="D306" t="s">
        <v>24</v>
      </c>
      <c r="E306" t="s">
        <v>17</v>
      </c>
      <c r="F306">
        <v>20</v>
      </c>
      <c r="G306">
        <v>33249.980000000003</v>
      </c>
      <c r="H306">
        <v>28</v>
      </c>
      <c r="I306">
        <v>64</v>
      </c>
    </row>
    <row r="307" spans="1:9" x14ac:dyDescent="0.25">
      <c r="A307" t="s">
        <v>332</v>
      </c>
      <c r="B307" t="s">
        <v>34</v>
      </c>
      <c r="C307" t="s">
        <v>40</v>
      </c>
      <c r="D307" t="s">
        <v>12</v>
      </c>
      <c r="E307" t="s">
        <v>17</v>
      </c>
      <c r="F307">
        <v>81</v>
      </c>
      <c r="G307">
        <v>116621.16</v>
      </c>
      <c r="H307">
        <v>10</v>
      </c>
      <c r="I307">
        <v>47</v>
      </c>
    </row>
    <row r="308" spans="1:9" x14ac:dyDescent="0.25">
      <c r="A308" t="s">
        <v>333</v>
      </c>
      <c r="B308" t="s">
        <v>10</v>
      </c>
      <c r="C308" t="s">
        <v>23</v>
      </c>
      <c r="D308" t="s">
        <v>16</v>
      </c>
      <c r="E308" t="s">
        <v>13</v>
      </c>
      <c r="F308">
        <v>67</v>
      </c>
      <c r="G308">
        <v>76467.12</v>
      </c>
      <c r="H308">
        <v>30</v>
      </c>
      <c r="I308">
        <v>80</v>
      </c>
    </row>
    <row r="309" spans="1:9" x14ac:dyDescent="0.25">
      <c r="A309" t="s">
        <v>334</v>
      </c>
      <c r="B309" t="s">
        <v>31</v>
      </c>
      <c r="C309" t="s">
        <v>11</v>
      </c>
      <c r="D309" t="s">
        <v>21</v>
      </c>
      <c r="E309" t="s">
        <v>13</v>
      </c>
      <c r="F309">
        <v>63</v>
      </c>
      <c r="G309">
        <v>141710.41</v>
      </c>
      <c r="H309">
        <v>8</v>
      </c>
      <c r="I309">
        <v>65</v>
      </c>
    </row>
    <row r="310" spans="1:9" x14ac:dyDescent="0.25">
      <c r="A310" t="s">
        <v>335</v>
      </c>
      <c r="B310" t="s">
        <v>31</v>
      </c>
      <c r="C310" t="s">
        <v>20</v>
      </c>
      <c r="D310" t="s">
        <v>16</v>
      </c>
      <c r="E310" t="s">
        <v>13</v>
      </c>
      <c r="F310">
        <v>53</v>
      </c>
      <c r="G310">
        <v>72969.59</v>
      </c>
      <c r="H310">
        <v>5</v>
      </c>
      <c r="I310">
        <v>61</v>
      </c>
    </row>
    <row r="311" spans="1:9" x14ac:dyDescent="0.25">
      <c r="A311" t="s">
        <v>336</v>
      </c>
      <c r="B311" t="s">
        <v>19</v>
      </c>
      <c r="C311" t="s">
        <v>40</v>
      </c>
      <c r="D311" t="s">
        <v>26</v>
      </c>
      <c r="E311" t="s">
        <v>29</v>
      </c>
      <c r="F311">
        <v>54</v>
      </c>
      <c r="G311">
        <v>147365.56</v>
      </c>
      <c r="H311">
        <v>5</v>
      </c>
      <c r="I311">
        <v>59</v>
      </c>
    </row>
    <row r="312" spans="1:9" x14ac:dyDescent="0.25">
      <c r="A312" t="s">
        <v>337</v>
      </c>
      <c r="B312" t="s">
        <v>36</v>
      </c>
      <c r="C312" t="s">
        <v>20</v>
      </c>
      <c r="D312" t="s">
        <v>26</v>
      </c>
      <c r="E312" t="s">
        <v>13</v>
      </c>
      <c r="F312">
        <v>42</v>
      </c>
      <c r="G312">
        <v>165720.9</v>
      </c>
      <c r="H312">
        <v>27</v>
      </c>
      <c r="I312">
        <v>57</v>
      </c>
    </row>
    <row r="313" spans="1:9" x14ac:dyDescent="0.25">
      <c r="A313" t="s">
        <v>338</v>
      </c>
      <c r="B313" t="s">
        <v>19</v>
      </c>
      <c r="C313" t="s">
        <v>20</v>
      </c>
      <c r="D313" t="s">
        <v>24</v>
      </c>
      <c r="E313" t="s">
        <v>29</v>
      </c>
      <c r="F313">
        <v>7</v>
      </c>
      <c r="G313">
        <v>15748.75</v>
      </c>
      <c r="H313">
        <v>5</v>
      </c>
      <c r="I313">
        <v>60</v>
      </c>
    </row>
    <row r="314" spans="1:9" x14ac:dyDescent="0.25">
      <c r="A314" t="s">
        <v>339</v>
      </c>
      <c r="B314" t="s">
        <v>19</v>
      </c>
      <c r="C314" t="s">
        <v>20</v>
      </c>
      <c r="D314" t="s">
        <v>24</v>
      </c>
      <c r="E314" t="s">
        <v>17</v>
      </c>
      <c r="F314">
        <v>73</v>
      </c>
      <c r="G314">
        <v>74946.83</v>
      </c>
      <c r="H314">
        <v>6</v>
      </c>
      <c r="I314">
        <v>80</v>
      </c>
    </row>
    <row r="315" spans="1:9" x14ac:dyDescent="0.25">
      <c r="A315" t="s">
        <v>340</v>
      </c>
      <c r="B315" t="s">
        <v>34</v>
      </c>
      <c r="C315" t="s">
        <v>40</v>
      </c>
      <c r="D315" t="s">
        <v>24</v>
      </c>
      <c r="E315" t="s">
        <v>13</v>
      </c>
      <c r="F315">
        <v>55</v>
      </c>
      <c r="G315">
        <v>182264.91</v>
      </c>
      <c r="H315">
        <v>26</v>
      </c>
      <c r="I315">
        <v>83</v>
      </c>
    </row>
    <row r="316" spans="1:9" x14ac:dyDescent="0.25">
      <c r="A316" t="s">
        <v>341</v>
      </c>
      <c r="B316" t="s">
        <v>34</v>
      </c>
      <c r="C316" t="s">
        <v>23</v>
      </c>
      <c r="D316" t="s">
        <v>21</v>
      </c>
      <c r="E316" t="s">
        <v>29</v>
      </c>
      <c r="F316">
        <v>12</v>
      </c>
      <c r="G316">
        <v>17235.04</v>
      </c>
      <c r="H316">
        <v>11</v>
      </c>
      <c r="I316">
        <v>41</v>
      </c>
    </row>
    <row r="317" spans="1:9" x14ac:dyDescent="0.25">
      <c r="A317" t="s">
        <v>342</v>
      </c>
      <c r="B317" t="s">
        <v>10</v>
      </c>
      <c r="C317" t="s">
        <v>11</v>
      </c>
      <c r="D317" t="s">
        <v>16</v>
      </c>
      <c r="E317" t="s">
        <v>13</v>
      </c>
      <c r="F317">
        <v>63</v>
      </c>
      <c r="G317">
        <v>95532.62</v>
      </c>
      <c r="H317">
        <v>25</v>
      </c>
      <c r="I317">
        <v>63</v>
      </c>
    </row>
    <row r="318" spans="1:9" x14ac:dyDescent="0.25">
      <c r="A318" t="s">
        <v>343</v>
      </c>
      <c r="B318" t="s">
        <v>15</v>
      </c>
      <c r="C318" t="s">
        <v>40</v>
      </c>
      <c r="D318" t="s">
        <v>12</v>
      </c>
      <c r="E318" t="s">
        <v>13</v>
      </c>
      <c r="F318">
        <v>47</v>
      </c>
      <c r="G318">
        <v>21152.54</v>
      </c>
      <c r="H318">
        <v>15</v>
      </c>
      <c r="I318">
        <v>56</v>
      </c>
    </row>
    <row r="319" spans="1:9" x14ac:dyDescent="0.25">
      <c r="A319" t="s">
        <v>344</v>
      </c>
      <c r="B319" t="s">
        <v>10</v>
      </c>
      <c r="C319" t="s">
        <v>23</v>
      </c>
      <c r="D319" t="s">
        <v>12</v>
      </c>
      <c r="E319" t="s">
        <v>29</v>
      </c>
      <c r="F319">
        <v>59</v>
      </c>
      <c r="G319">
        <v>105708.64</v>
      </c>
      <c r="H319">
        <v>16</v>
      </c>
      <c r="I319">
        <v>89</v>
      </c>
    </row>
    <row r="320" spans="1:9" x14ac:dyDescent="0.25">
      <c r="A320" t="s">
        <v>345</v>
      </c>
      <c r="B320" t="s">
        <v>34</v>
      </c>
      <c r="C320" t="s">
        <v>40</v>
      </c>
      <c r="D320" t="s">
        <v>16</v>
      </c>
      <c r="E320" t="s">
        <v>13</v>
      </c>
      <c r="F320">
        <v>79</v>
      </c>
      <c r="G320">
        <v>144635.9</v>
      </c>
      <c r="H320">
        <v>6</v>
      </c>
      <c r="I320">
        <v>92</v>
      </c>
    </row>
    <row r="321" spans="1:9" x14ac:dyDescent="0.25">
      <c r="A321" t="s">
        <v>346</v>
      </c>
      <c r="B321" t="s">
        <v>10</v>
      </c>
      <c r="C321" t="s">
        <v>40</v>
      </c>
      <c r="D321" t="s">
        <v>16</v>
      </c>
      <c r="E321" t="s">
        <v>29</v>
      </c>
      <c r="F321">
        <v>45</v>
      </c>
      <c r="G321">
        <v>53658.96</v>
      </c>
      <c r="H321">
        <v>30</v>
      </c>
      <c r="I321">
        <v>48</v>
      </c>
    </row>
    <row r="322" spans="1:9" x14ac:dyDescent="0.25">
      <c r="A322" t="s">
        <v>347</v>
      </c>
      <c r="B322" t="s">
        <v>31</v>
      </c>
      <c r="C322" t="s">
        <v>23</v>
      </c>
      <c r="D322" t="s">
        <v>26</v>
      </c>
      <c r="E322" t="s">
        <v>29</v>
      </c>
      <c r="F322">
        <v>46</v>
      </c>
      <c r="G322">
        <v>70981</v>
      </c>
      <c r="H322">
        <v>15</v>
      </c>
      <c r="I322">
        <v>94</v>
      </c>
    </row>
    <row r="323" spans="1:9" x14ac:dyDescent="0.25">
      <c r="A323" t="s">
        <v>348</v>
      </c>
      <c r="B323" t="s">
        <v>15</v>
      </c>
      <c r="C323" t="s">
        <v>20</v>
      </c>
      <c r="D323" t="s">
        <v>26</v>
      </c>
      <c r="E323" t="s">
        <v>17</v>
      </c>
      <c r="F323">
        <v>56</v>
      </c>
      <c r="G323">
        <v>176807.46</v>
      </c>
      <c r="H323">
        <v>18</v>
      </c>
      <c r="I323">
        <v>72</v>
      </c>
    </row>
    <row r="324" spans="1:9" x14ac:dyDescent="0.25">
      <c r="A324" t="s">
        <v>349</v>
      </c>
      <c r="B324" t="s">
        <v>31</v>
      </c>
      <c r="C324" t="s">
        <v>11</v>
      </c>
      <c r="D324" t="s">
        <v>26</v>
      </c>
      <c r="E324" t="s">
        <v>17</v>
      </c>
      <c r="F324">
        <v>2</v>
      </c>
      <c r="G324">
        <v>92673.22</v>
      </c>
      <c r="H324">
        <v>28</v>
      </c>
      <c r="I324">
        <v>54</v>
      </c>
    </row>
    <row r="325" spans="1:9" x14ac:dyDescent="0.25">
      <c r="A325" t="s">
        <v>350</v>
      </c>
      <c r="B325" t="s">
        <v>36</v>
      </c>
      <c r="C325" t="s">
        <v>20</v>
      </c>
      <c r="D325" t="s">
        <v>12</v>
      </c>
      <c r="E325" t="s">
        <v>17</v>
      </c>
      <c r="F325">
        <v>25</v>
      </c>
      <c r="G325">
        <v>160662.59</v>
      </c>
      <c r="H325">
        <v>1</v>
      </c>
      <c r="I325">
        <v>99</v>
      </c>
    </row>
    <row r="326" spans="1:9" x14ac:dyDescent="0.25">
      <c r="A326" t="s">
        <v>351</v>
      </c>
      <c r="B326" t="s">
        <v>10</v>
      </c>
      <c r="C326" t="s">
        <v>40</v>
      </c>
      <c r="D326" t="s">
        <v>21</v>
      </c>
      <c r="E326" t="s">
        <v>17</v>
      </c>
      <c r="F326">
        <v>90</v>
      </c>
      <c r="G326">
        <v>17595.830000000002</v>
      </c>
      <c r="H326">
        <v>24</v>
      </c>
      <c r="I326">
        <v>95</v>
      </c>
    </row>
    <row r="327" spans="1:9" x14ac:dyDescent="0.25">
      <c r="A327" t="s">
        <v>352</v>
      </c>
      <c r="B327" t="s">
        <v>31</v>
      </c>
      <c r="C327" t="s">
        <v>20</v>
      </c>
      <c r="D327" t="s">
        <v>16</v>
      </c>
      <c r="E327" t="s">
        <v>29</v>
      </c>
      <c r="F327">
        <v>64</v>
      </c>
      <c r="G327">
        <v>131506.07</v>
      </c>
      <c r="H327">
        <v>26</v>
      </c>
      <c r="I327">
        <v>56</v>
      </c>
    </row>
    <row r="328" spans="1:9" x14ac:dyDescent="0.25">
      <c r="A328" t="s">
        <v>353</v>
      </c>
      <c r="B328" t="s">
        <v>15</v>
      </c>
      <c r="C328" t="s">
        <v>11</v>
      </c>
      <c r="D328" t="s">
        <v>21</v>
      </c>
      <c r="E328" t="s">
        <v>29</v>
      </c>
      <c r="F328">
        <v>7</v>
      </c>
      <c r="G328">
        <v>22995.19</v>
      </c>
      <c r="H328">
        <v>11</v>
      </c>
      <c r="I328">
        <v>86</v>
      </c>
    </row>
    <row r="329" spans="1:9" x14ac:dyDescent="0.25">
      <c r="A329" t="s">
        <v>354</v>
      </c>
      <c r="B329" t="s">
        <v>19</v>
      </c>
      <c r="C329" t="s">
        <v>40</v>
      </c>
      <c r="D329" t="s">
        <v>24</v>
      </c>
      <c r="E329" t="s">
        <v>13</v>
      </c>
      <c r="F329">
        <v>72</v>
      </c>
      <c r="G329">
        <v>29353.17</v>
      </c>
      <c r="H329">
        <v>28</v>
      </c>
      <c r="I329">
        <v>44</v>
      </c>
    </row>
    <row r="330" spans="1:9" x14ac:dyDescent="0.25">
      <c r="A330" t="s">
        <v>355</v>
      </c>
      <c r="B330" t="s">
        <v>19</v>
      </c>
      <c r="C330" t="s">
        <v>11</v>
      </c>
      <c r="D330" t="s">
        <v>12</v>
      </c>
      <c r="E330" t="s">
        <v>29</v>
      </c>
      <c r="F330">
        <v>24</v>
      </c>
      <c r="G330">
        <v>82810.63</v>
      </c>
      <c r="H330">
        <v>3</v>
      </c>
      <c r="I330">
        <v>47</v>
      </c>
    </row>
    <row r="331" spans="1:9" x14ac:dyDescent="0.25">
      <c r="A331" t="s">
        <v>356</v>
      </c>
      <c r="B331" t="s">
        <v>31</v>
      </c>
      <c r="C331" t="s">
        <v>23</v>
      </c>
      <c r="D331" t="s">
        <v>16</v>
      </c>
      <c r="E331" t="s">
        <v>13</v>
      </c>
      <c r="F331">
        <v>23</v>
      </c>
      <c r="G331">
        <v>79266.11</v>
      </c>
      <c r="H331">
        <v>27</v>
      </c>
      <c r="I331">
        <v>83</v>
      </c>
    </row>
    <row r="332" spans="1:9" x14ac:dyDescent="0.25">
      <c r="A332" t="s">
        <v>357</v>
      </c>
      <c r="B332" t="s">
        <v>34</v>
      </c>
      <c r="C332" t="s">
        <v>40</v>
      </c>
      <c r="D332" t="s">
        <v>26</v>
      </c>
      <c r="E332" t="s">
        <v>17</v>
      </c>
      <c r="F332">
        <v>13</v>
      </c>
      <c r="G332">
        <v>67551.88</v>
      </c>
      <c r="H332">
        <v>12</v>
      </c>
      <c r="I332">
        <v>67</v>
      </c>
    </row>
    <row r="333" spans="1:9" x14ac:dyDescent="0.25">
      <c r="A333" t="s">
        <v>358</v>
      </c>
      <c r="B333" t="s">
        <v>19</v>
      </c>
      <c r="C333" t="s">
        <v>20</v>
      </c>
      <c r="D333" t="s">
        <v>21</v>
      </c>
      <c r="E333" t="s">
        <v>17</v>
      </c>
      <c r="F333">
        <v>29</v>
      </c>
      <c r="G333">
        <v>8810.3700000000008</v>
      </c>
      <c r="H333">
        <v>30</v>
      </c>
      <c r="I333">
        <v>71</v>
      </c>
    </row>
    <row r="334" spans="1:9" x14ac:dyDescent="0.25">
      <c r="A334" t="s">
        <v>359</v>
      </c>
      <c r="B334" t="s">
        <v>31</v>
      </c>
      <c r="C334" t="s">
        <v>23</v>
      </c>
      <c r="D334" t="s">
        <v>21</v>
      </c>
      <c r="E334" t="s">
        <v>29</v>
      </c>
      <c r="F334">
        <v>9</v>
      </c>
      <c r="G334">
        <v>182970.74</v>
      </c>
      <c r="H334">
        <v>23</v>
      </c>
      <c r="I334">
        <v>95</v>
      </c>
    </row>
    <row r="335" spans="1:9" x14ac:dyDescent="0.25">
      <c r="A335" t="s">
        <v>360</v>
      </c>
      <c r="B335" t="s">
        <v>15</v>
      </c>
      <c r="C335" t="s">
        <v>23</v>
      </c>
      <c r="D335" t="s">
        <v>21</v>
      </c>
      <c r="E335" t="s">
        <v>13</v>
      </c>
      <c r="F335">
        <v>90</v>
      </c>
      <c r="G335">
        <v>50035.44</v>
      </c>
      <c r="H335">
        <v>25</v>
      </c>
      <c r="I335">
        <v>56</v>
      </c>
    </row>
    <row r="336" spans="1:9" x14ac:dyDescent="0.25">
      <c r="A336" t="s">
        <v>361</v>
      </c>
      <c r="B336" t="s">
        <v>34</v>
      </c>
      <c r="C336" t="s">
        <v>40</v>
      </c>
      <c r="D336" t="s">
        <v>26</v>
      </c>
      <c r="E336" t="s">
        <v>13</v>
      </c>
      <c r="F336">
        <v>41</v>
      </c>
      <c r="G336">
        <v>187994.33</v>
      </c>
      <c r="H336">
        <v>29</v>
      </c>
      <c r="I336">
        <v>42</v>
      </c>
    </row>
    <row r="337" spans="1:9" x14ac:dyDescent="0.25">
      <c r="A337" t="s">
        <v>362</v>
      </c>
      <c r="B337" t="s">
        <v>10</v>
      </c>
      <c r="C337" t="s">
        <v>40</v>
      </c>
      <c r="D337" t="s">
        <v>24</v>
      </c>
      <c r="E337" t="s">
        <v>13</v>
      </c>
      <c r="F337">
        <v>3</v>
      </c>
      <c r="G337">
        <v>160200.66</v>
      </c>
      <c r="H337">
        <v>20</v>
      </c>
      <c r="I337">
        <v>55</v>
      </c>
    </row>
    <row r="338" spans="1:9" x14ac:dyDescent="0.25">
      <c r="A338" t="s">
        <v>363</v>
      </c>
      <c r="B338" t="s">
        <v>34</v>
      </c>
      <c r="C338" t="s">
        <v>11</v>
      </c>
      <c r="D338" t="s">
        <v>16</v>
      </c>
      <c r="E338" t="s">
        <v>29</v>
      </c>
      <c r="F338">
        <v>84</v>
      </c>
      <c r="G338">
        <v>177880.62</v>
      </c>
      <c r="H338">
        <v>4</v>
      </c>
      <c r="I338">
        <v>96</v>
      </c>
    </row>
    <row r="339" spans="1:9" x14ac:dyDescent="0.25">
      <c r="A339" t="s">
        <v>364</v>
      </c>
      <c r="B339" t="s">
        <v>19</v>
      </c>
      <c r="C339" t="s">
        <v>23</v>
      </c>
      <c r="D339" t="s">
        <v>24</v>
      </c>
      <c r="E339" t="s">
        <v>13</v>
      </c>
      <c r="F339">
        <v>44</v>
      </c>
      <c r="G339">
        <v>168879.38</v>
      </c>
      <c r="H339">
        <v>7</v>
      </c>
      <c r="I339">
        <v>63</v>
      </c>
    </row>
    <row r="340" spans="1:9" x14ac:dyDescent="0.25">
      <c r="A340" t="s">
        <v>365</v>
      </c>
      <c r="B340" t="s">
        <v>19</v>
      </c>
      <c r="C340" t="s">
        <v>23</v>
      </c>
      <c r="D340" t="s">
        <v>26</v>
      </c>
      <c r="E340" t="s">
        <v>13</v>
      </c>
      <c r="F340">
        <v>41</v>
      </c>
      <c r="G340">
        <v>46864.7</v>
      </c>
      <c r="H340">
        <v>5</v>
      </c>
      <c r="I340">
        <v>91</v>
      </c>
    </row>
    <row r="341" spans="1:9" x14ac:dyDescent="0.25">
      <c r="A341" t="s">
        <v>366</v>
      </c>
      <c r="B341" t="s">
        <v>15</v>
      </c>
      <c r="C341" t="s">
        <v>40</v>
      </c>
      <c r="D341" t="s">
        <v>12</v>
      </c>
      <c r="E341" t="s">
        <v>17</v>
      </c>
      <c r="F341">
        <v>13</v>
      </c>
      <c r="G341">
        <v>189859.16</v>
      </c>
      <c r="H341">
        <v>4</v>
      </c>
      <c r="I341">
        <v>64</v>
      </c>
    </row>
    <row r="342" spans="1:9" x14ac:dyDescent="0.25">
      <c r="A342" t="s">
        <v>367</v>
      </c>
      <c r="B342" t="s">
        <v>36</v>
      </c>
      <c r="C342" t="s">
        <v>20</v>
      </c>
      <c r="D342" t="s">
        <v>24</v>
      </c>
      <c r="E342" t="s">
        <v>17</v>
      </c>
      <c r="F342">
        <v>53</v>
      </c>
      <c r="G342">
        <v>195313.79</v>
      </c>
      <c r="H342">
        <v>18</v>
      </c>
      <c r="I342">
        <v>87</v>
      </c>
    </row>
    <row r="343" spans="1:9" x14ac:dyDescent="0.25">
      <c r="A343" t="s">
        <v>368</v>
      </c>
      <c r="B343" t="s">
        <v>34</v>
      </c>
      <c r="C343" t="s">
        <v>40</v>
      </c>
      <c r="D343" t="s">
        <v>16</v>
      </c>
      <c r="E343" t="s">
        <v>13</v>
      </c>
      <c r="F343">
        <v>10</v>
      </c>
      <c r="G343">
        <v>78115.460000000006</v>
      </c>
      <c r="H343">
        <v>26</v>
      </c>
      <c r="I343">
        <v>41</v>
      </c>
    </row>
    <row r="344" spans="1:9" x14ac:dyDescent="0.25">
      <c r="A344" t="s">
        <v>369</v>
      </c>
      <c r="B344" t="s">
        <v>19</v>
      </c>
      <c r="C344" t="s">
        <v>23</v>
      </c>
      <c r="D344" t="s">
        <v>12</v>
      </c>
      <c r="E344" t="s">
        <v>17</v>
      </c>
      <c r="F344">
        <v>84</v>
      </c>
      <c r="G344">
        <v>126153.08</v>
      </c>
      <c r="H344">
        <v>8</v>
      </c>
      <c r="I344">
        <v>79</v>
      </c>
    </row>
    <row r="345" spans="1:9" x14ac:dyDescent="0.25">
      <c r="A345" t="s">
        <v>370</v>
      </c>
      <c r="B345" t="s">
        <v>31</v>
      </c>
      <c r="C345" t="s">
        <v>11</v>
      </c>
      <c r="D345" t="s">
        <v>24</v>
      </c>
      <c r="E345" t="s">
        <v>13</v>
      </c>
      <c r="F345">
        <v>67</v>
      </c>
      <c r="G345">
        <v>193270.44</v>
      </c>
      <c r="H345">
        <v>9</v>
      </c>
      <c r="I345">
        <v>43</v>
      </c>
    </row>
    <row r="346" spans="1:9" x14ac:dyDescent="0.25">
      <c r="A346" t="s">
        <v>371</v>
      </c>
      <c r="B346" t="s">
        <v>10</v>
      </c>
      <c r="C346" t="s">
        <v>20</v>
      </c>
      <c r="D346" t="s">
        <v>12</v>
      </c>
      <c r="E346" t="s">
        <v>29</v>
      </c>
      <c r="F346">
        <v>10</v>
      </c>
      <c r="G346">
        <v>57883.35</v>
      </c>
      <c r="H346">
        <v>22</v>
      </c>
      <c r="I346">
        <v>41</v>
      </c>
    </row>
    <row r="347" spans="1:9" x14ac:dyDescent="0.25">
      <c r="A347" t="s">
        <v>372</v>
      </c>
      <c r="B347" t="s">
        <v>15</v>
      </c>
      <c r="C347" t="s">
        <v>20</v>
      </c>
      <c r="D347" t="s">
        <v>12</v>
      </c>
      <c r="E347" t="s">
        <v>17</v>
      </c>
      <c r="F347">
        <v>67</v>
      </c>
      <c r="G347">
        <v>23241.89</v>
      </c>
      <c r="H347">
        <v>28</v>
      </c>
      <c r="I347">
        <v>63</v>
      </c>
    </row>
    <row r="348" spans="1:9" x14ac:dyDescent="0.25">
      <c r="A348" t="s">
        <v>373</v>
      </c>
      <c r="B348" t="s">
        <v>10</v>
      </c>
      <c r="C348" t="s">
        <v>20</v>
      </c>
      <c r="D348" t="s">
        <v>24</v>
      </c>
      <c r="E348" t="s">
        <v>29</v>
      </c>
      <c r="F348">
        <v>16</v>
      </c>
      <c r="G348">
        <v>14004.85</v>
      </c>
      <c r="H348">
        <v>13</v>
      </c>
      <c r="I348">
        <v>92</v>
      </c>
    </row>
    <row r="349" spans="1:9" x14ac:dyDescent="0.25">
      <c r="A349" t="s">
        <v>374</v>
      </c>
      <c r="B349" t="s">
        <v>31</v>
      </c>
      <c r="C349" t="s">
        <v>23</v>
      </c>
      <c r="D349" t="s">
        <v>16</v>
      </c>
      <c r="E349" t="s">
        <v>13</v>
      </c>
      <c r="F349">
        <v>76</v>
      </c>
      <c r="G349">
        <v>107542.49</v>
      </c>
      <c r="H349">
        <v>1</v>
      </c>
      <c r="I349">
        <v>69</v>
      </c>
    </row>
    <row r="350" spans="1:9" x14ac:dyDescent="0.25">
      <c r="A350" t="s">
        <v>375</v>
      </c>
      <c r="B350" t="s">
        <v>10</v>
      </c>
      <c r="C350" t="s">
        <v>11</v>
      </c>
      <c r="D350" t="s">
        <v>26</v>
      </c>
      <c r="E350" t="s">
        <v>13</v>
      </c>
      <c r="F350">
        <v>19</v>
      </c>
      <c r="G350">
        <v>60191.68</v>
      </c>
      <c r="H350">
        <v>20</v>
      </c>
      <c r="I350">
        <v>41</v>
      </c>
    </row>
    <row r="351" spans="1:9" x14ac:dyDescent="0.25">
      <c r="A351" t="s">
        <v>376</v>
      </c>
      <c r="B351" t="s">
        <v>36</v>
      </c>
      <c r="C351" t="s">
        <v>11</v>
      </c>
      <c r="D351" t="s">
        <v>26</v>
      </c>
      <c r="E351" t="s">
        <v>29</v>
      </c>
      <c r="F351">
        <v>73</v>
      </c>
      <c r="G351">
        <v>166844.68</v>
      </c>
      <c r="H351">
        <v>2</v>
      </c>
      <c r="I351">
        <v>80</v>
      </c>
    </row>
    <row r="352" spans="1:9" x14ac:dyDescent="0.25">
      <c r="A352" t="s">
        <v>377</v>
      </c>
      <c r="B352" t="s">
        <v>36</v>
      </c>
      <c r="C352" t="s">
        <v>11</v>
      </c>
      <c r="D352" t="s">
        <v>16</v>
      </c>
      <c r="E352" t="s">
        <v>17</v>
      </c>
      <c r="F352">
        <v>6</v>
      </c>
      <c r="G352">
        <v>22990.880000000001</v>
      </c>
      <c r="H352">
        <v>20</v>
      </c>
      <c r="I352">
        <v>64</v>
      </c>
    </row>
    <row r="353" spans="1:9" x14ac:dyDescent="0.25">
      <c r="A353" t="s">
        <v>378</v>
      </c>
      <c r="B353" t="s">
        <v>34</v>
      </c>
      <c r="C353" t="s">
        <v>40</v>
      </c>
      <c r="D353" t="s">
        <v>12</v>
      </c>
      <c r="E353" t="s">
        <v>17</v>
      </c>
      <c r="F353">
        <v>60</v>
      </c>
      <c r="G353">
        <v>104203.72</v>
      </c>
      <c r="H353">
        <v>25</v>
      </c>
      <c r="I353">
        <v>53</v>
      </c>
    </row>
    <row r="354" spans="1:9" x14ac:dyDescent="0.25">
      <c r="A354" t="s">
        <v>379</v>
      </c>
      <c r="B354" t="s">
        <v>34</v>
      </c>
      <c r="C354" t="s">
        <v>23</v>
      </c>
      <c r="D354" t="s">
        <v>26</v>
      </c>
      <c r="E354" t="s">
        <v>17</v>
      </c>
      <c r="F354">
        <v>89</v>
      </c>
      <c r="G354">
        <v>28833.83</v>
      </c>
      <c r="H354">
        <v>12</v>
      </c>
      <c r="I354">
        <v>69</v>
      </c>
    </row>
    <row r="355" spans="1:9" x14ac:dyDescent="0.25">
      <c r="A355" t="s">
        <v>380</v>
      </c>
      <c r="B355" t="s">
        <v>19</v>
      </c>
      <c r="C355" t="s">
        <v>20</v>
      </c>
      <c r="D355" t="s">
        <v>24</v>
      </c>
      <c r="E355" t="s">
        <v>29</v>
      </c>
      <c r="F355">
        <v>79</v>
      </c>
      <c r="G355">
        <v>8250.98</v>
      </c>
      <c r="H355">
        <v>29</v>
      </c>
      <c r="I355">
        <v>44</v>
      </c>
    </row>
    <row r="356" spans="1:9" x14ac:dyDescent="0.25">
      <c r="A356" t="s">
        <v>381</v>
      </c>
      <c r="B356" t="s">
        <v>34</v>
      </c>
      <c r="C356" t="s">
        <v>40</v>
      </c>
      <c r="D356" t="s">
        <v>12</v>
      </c>
      <c r="E356" t="s">
        <v>13</v>
      </c>
      <c r="F356">
        <v>62</v>
      </c>
      <c r="G356">
        <v>15661.54</v>
      </c>
      <c r="H356">
        <v>19</v>
      </c>
      <c r="I356">
        <v>51</v>
      </c>
    </row>
    <row r="357" spans="1:9" x14ac:dyDescent="0.25">
      <c r="A357" t="s">
        <v>382</v>
      </c>
      <c r="B357" t="s">
        <v>34</v>
      </c>
      <c r="C357" t="s">
        <v>20</v>
      </c>
      <c r="D357" t="s">
        <v>26</v>
      </c>
      <c r="E357" t="s">
        <v>29</v>
      </c>
      <c r="F357">
        <v>85</v>
      </c>
      <c r="G357">
        <v>198515.7</v>
      </c>
      <c r="H357">
        <v>21</v>
      </c>
      <c r="I357">
        <v>93</v>
      </c>
    </row>
    <row r="358" spans="1:9" x14ac:dyDescent="0.25">
      <c r="A358" t="s">
        <v>383</v>
      </c>
      <c r="B358" t="s">
        <v>31</v>
      </c>
      <c r="C358" t="s">
        <v>23</v>
      </c>
      <c r="D358" t="s">
        <v>21</v>
      </c>
      <c r="E358" t="s">
        <v>29</v>
      </c>
      <c r="F358">
        <v>24</v>
      </c>
      <c r="G358">
        <v>183821.7</v>
      </c>
      <c r="H358">
        <v>23</v>
      </c>
      <c r="I358">
        <v>97</v>
      </c>
    </row>
    <row r="359" spans="1:9" x14ac:dyDescent="0.25">
      <c r="A359" t="s">
        <v>384</v>
      </c>
      <c r="B359" t="s">
        <v>10</v>
      </c>
      <c r="C359" t="s">
        <v>23</v>
      </c>
      <c r="D359" t="s">
        <v>26</v>
      </c>
      <c r="E359" t="s">
        <v>29</v>
      </c>
      <c r="F359">
        <v>7</v>
      </c>
      <c r="G359">
        <v>91450.4</v>
      </c>
      <c r="H359">
        <v>24</v>
      </c>
      <c r="I359">
        <v>51</v>
      </c>
    </row>
    <row r="360" spans="1:9" x14ac:dyDescent="0.25">
      <c r="A360" t="s">
        <v>385</v>
      </c>
      <c r="B360" t="s">
        <v>31</v>
      </c>
      <c r="C360" t="s">
        <v>23</v>
      </c>
      <c r="D360" t="s">
        <v>24</v>
      </c>
      <c r="E360" t="s">
        <v>13</v>
      </c>
      <c r="F360">
        <v>27</v>
      </c>
      <c r="G360">
        <v>41216.46</v>
      </c>
      <c r="H360">
        <v>20</v>
      </c>
      <c r="I360">
        <v>71</v>
      </c>
    </row>
    <row r="361" spans="1:9" x14ac:dyDescent="0.25">
      <c r="A361" t="s">
        <v>386</v>
      </c>
      <c r="B361" t="s">
        <v>31</v>
      </c>
      <c r="C361" t="s">
        <v>40</v>
      </c>
      <c r="D361" t="s">
        <v>16</v>
      </c>
      <c r="E361" t="s">
        <v>13</v>
      </c>
      <c r="F361">
        <v>84</v>
      </c>
      <c r="G361">
        <v>62507.06</v>
      </c>
      <c r="H361">
        <v>8</v>
      </c>
      <c r="I361">
        <v>50</v>
      </c>
    </row>
    <row r="362" spans="1:9" x14ac:dyDescent="0.25">
      <c r="A362" t="s">
        <v>387</v>
      </c>
      <c r="B362" t="s">
        <v>19</v>
      </c>
      <c r="C362" t="s">
        <v>23</v>
      </c>
      <c r="D362" t="s">
        <v>12</v>
      </c>
      <c r="E362" t="s">
        <v>17</v>
      </c>
      <c r="F362">
        <v>47</v>
      </c>
      <c r="G362">
        <v>8715.9</v>
      </c>
      <c r="H362">
        <v>18</v>
      </c>
      <c r="I362">
        <v>91</v>
      </c>
    </row>
    <row r="363" spans="1:9" x14ac:dyDescent="0.25">
      <c r="A363" t="s">
        <v>388</v>
      </c>
      <c r="B363" t="s">
        <v>10</v>
      </c>
      <c r="C363" t="s">
        <v>40</v>
      </c>
      <c r="D363" t="s">
        <v>16</v>
      </c>
      <c r="E363" t="s">
        <v>29</v>
      </c>
      <c r="F363">
        <v>84</v>
      </c>
      <c r="G363">
        <v>135564.47</v>
      </c>
      <c r="H363">
        <v>1</v>
      </c>
      <c r="I363">
        <v>68</v>
      </c>
    </row>
    <row r="364" spans="1:9" x14ac:dyDescent="0.25">
      <c r="A364" t="s">
        <v>389</v>
      </c>
      <c r="B364" t="s">
        <v>36</v>
      </c>
      <c r="C364" t="s">
        <v>40</v>
      </c>
      <c r="D364" t="s">
        <v>12</v>
      </c>
      <c r="E364" t="s">
        <v>17</v>
      </c>
      <c r="F364">
        <v>45</v>
      </c>
      <c r="G364">
        <v>152012.68</v>
      </c>
      <c r="H364">
        <v>26</v>
      </c>
      <c r="I364">
        <v>46</v>
      </c>
    </row>
    <row r="365" spans="1:9" x14ac:dyDescent="0.25">
      <c r="A365" t="s">
        <v>390</v>
      </c>
      <c r="B365" t="s">
        <v>34</v>
      </c>
      <c r="C365" t="s">
        <v>40</v>
      </c>
      <c r="D365" t="s">
        <v>12</v>
      </c>
      <c r="E365" t="s">
        <v>29</v>
      </c>
      <c r="F365">
        <v>87</v>
      </c>
      <c r="G365">
        <v>58815.96</v>
      </c>
      <c r="H365">
        <v>14</v>
      </c>
      <c r="I365">
        <v>66</v>
      </c>
    </row>
    <row r="366" spans="1:9" x14ac:dyDescent="0.25">
      <c r="A366" t="s">
        <v>391</v>
      </c>
      <c r="B366" t="s">
        <v>31</v>
      </c>
      <c r="C366" t="s">
        <v>20</v>
      </c>
      <c r="D366" t="s">
        <v>16</v>
      </c>
      <c r="E366" t="s">
        <v>13</v>
      </c>
      <c r="F366">
        <v>64</v>
      </c>
      <c r="G366">
        <v>129199.53</v>
      </c>
      <c r="H366">
        <v>1</v>
      </c>
      <c r="I366">
        <v>40</v>
      </c>
    </row>
    <row r="367" spans="1:9" x14ac:dyDescent="0.25">
      <c r="A367" t="s">
        <v>392</v>
      </c>
      <c r="B367" t="s">
        <v>15</v>
      </c>
      <c r="C367" t="s">
        <v>23</v>
      </c>
      <c r="D367" t="s">
        <v>24</v>
      </c>
      <c r="E367" t="s">
        <v>13</v>
      </c>
      <c r="F367">
        <v>9</v>
      </c>
      <c r="G367">
        <v>89832.39</v>
      </c>
      <c r="H367">
        <v>18</v>
      </c>
      <c r="I367">
        <v>96</v>
      </c>
    </row>
    <row r="368" spans="1:9" x14ac:dyDescent="0.25">
      <c r="A368" t="s">
        <v>393</v>
      </c>
      <c r="B368" t="s">
        <v>15</v>
      </c>
      <c r="C368" t="s">
        <v>20</v>
      </c>
      <c r="D368" t="s">
        <v>24</v>
      </c>
      <c r="E368" t="s">
        <v>13</v>
      </c>
      <c r="F368">
        <v>30</v>
      </c>
      <c r="G368">
        <v>115206.42</v>
      </c>
      <c r="H368">
        <v>6</v>
      </c>
      <c r="I368">
        <v>63</v>
      </c>
    </row>
    <row r="369" spans="1:9" x14ac:dyDescent="0.25">
      <c r="A369" t="s">
        <v>394</v>
      </c>
      <c r="B369" t="s">
        <v>15</v>
      </c>
      <c r="C369" t="s">
        <v>20</v>
      </c>
      <c r="D369" t="s">
        <v>12</v>
      </c>
      <c r="E369" t="s">
        <v>17</v>
      </c>
      <c r="F369">
        <v>37</v>
      </c>
      <c r="G369">
        <v>46208.9</v>
      </c>
      <c r="H369">
        <v>18</v>
      </c>
      <c r="I369">
        <v>75</v>
      </c>
    </row>
    <row r="370" spans="1:9" x14ac:dyDescent="0.25">
      <c r="A370" t="s">
        <v>395</v>
      </c>
      <c r="B370" t="s">
        <v>31</v>
      </c>
      <c r="C370" t="s">
        <v>23</v>
      </c>
      <c r="D370" t="s">
        <v>16</v>
      </c>
      <c r="E370" t="s">
        <v>17</v>
      </c>
      <c r="F370">
        <v>40</v>
      </c>
      <c r="G370">
        <v>152496.29999999999</v>
      </c>
      <c r="H370">
        <v>22</v>
      </c>
      <c r="I370">
        <v>79</v>
      </c>
    </row>
    <row r="371" spans="1:9" x14ac:dyDescent="0.25">
      <c r="A371" t="s">
        <v>396</v>
      </c>
      <c r="B371" t="s">
        <v>15</v>
      </c>
      <c r="C371" t="s">
        <v>20</v>
      </c>
      <c r="D371" t="s">
        <v>16</v>
      </c>
      <c r="E371" t="s">
        <v>13</v>
      </c>
      <c r="F371">
        <v>87</v>
      </c>
      <c r="G371">
        <v>182651.36</v>
      </c>
      <c r="H371">
        <v>28</v>
      </c>
      <c r="I371">
        <v>67</v>
      </c>
    </row>
    <row r="372" spans="1:9" x14ac:dyDescent="0.25">
      <c r="A372" t="s">
        <v>397</v>
      </c>
      <c r="B372" t="s">
        <v>19</v>
      </c>
      <c r="C372" t="s">
        <v>20</v>
      </c>
      <c r="D372" t="s">
        <v>21</v>
      </c>
      <c r="E372" t="s">
        <v>13</v>
      </c>
      <c r="F372">
        <v>34</v>
      </c>
      <c r="G372">
        <v>74700.039999999994</v>
      </c>
      <c r="H372">
        <v>20</v>
      </c>
      <c r="I372">
        <v>63</v>
      </c>
    </row>
    <row r="373" spans="1:9" x14ac:dyDescent="0.25">
      <c r="A373" t="s">
        <v>398</v>
      </c>
      <c r="B373" t="s">
        <v>15</v>
      </c>
      <c r="C373" t="s">
        <v>40</v>
      </c>
      <c r="D373" t="s">
        <v>21</v>
      </c>
      <c r="E373" t="s">
        <v>17</v>
      </c>
      <c r="F373">
        <v>45</v>
      </c>
      <c r="G373">
        <v>96269.21</v>
      </c>
      <c r="H373">
        <v>6</v>
      </c>
      <c r="I373">
        <v>76</v>
      </c>
    </row>
    <row r="374" spans="1:9" x14ac:dyDescent="0.25">
      <c r="A374" t="s">
        <v>399</v>
      </c>
      <c r="B374" t="s">
        <v>19</v>
      </c>
      <c r="C374" t="s">
        <v>20</v>
      </c>
      <c r="D374" t="s">
        <v>12</v>
      </c>
      <c r="E374" t="s">
        <v>17</v>
      </c>
      <c r="F374">
        <v>20</v>
      </c>
      <c r="G374">
        <v>187603.56</v>
      </c>
      <c r="H374">
        <v>4</v>
      </c>
      <c r="I374">
        <v>51</v>
      </c>
    </row>
    <row r="375" spans="1:9" x14ac:dyDescent="0.25">
      <c r="A375" t="s">
        <v>400</v>
      </c>
      <c r="B375" t="s">
        <v>31</v>
      </c>
      <c r="C375" t="s">
        <v>20</v>
      </c>
      <c r="D375" t="s">
        <v>21</v>
      </c>
      <c r="E375" t="s">
        <v>13</v>
      </c>
      <c r="F375">
        <v>35</v>
      </c>
      <c r="G375">
        <v>19353.43</v>
      </c>
      <c r="H375">
        <v>12</v>
      </c>
      <c r="I375">
        <v>100</v>
      </c>
    </row>
    <row r="376" spans="1:9" x14ac:dyDescent="0.25">
      <c r="A376" t="s">
        <v>401</v>
      </c>
      <c r="B376" t="s">
        <v>19</v>
      </c>
      <c r="C376" t="s">
        <v>20</v>
      </c>
      <c r="D376" t="s">
        <v>21</v>
      </c>
      <c r="E376" t="s">
        <v>29</v>
      </c>
      <c r="F376">
        <v>38</v>
      </c>
      <c r="G376">
        <v>3978.97</v>
      </c>
      <c r="H376">
        <v>10</v>
      </c>
      <c r="I376">
        <v>93</v>
      </c>
    </row>
    <row r="377" spans="1:9" x14ac:dyDescent="0.25">
      <c r="A377" t="s">
        <v>402</v>
      </c>
      <c r="B377" t="s">
        <v>36</v>
      </c>
      <c r="C377" t="s">
        <v>40</v>
      </c>
      <c r="D377" t="s">
        <v>24</v>
      </c>
      <c r="E377" t="s">
        <v>13</v>
      </c>
      <c r="F377">
        <v>76</v>
      </c>
      <c r="G377">
        <v>35161.89</v>
      </c>
      <c r="H377">
        <v>21</v>
      </c>
      <c r="I377">
        <v>40</v>
      </c>
    </row>
    <row r="378" spans="1:9" x14ac:dyDescent="0.25">
      <c r="A378" t="s">
        <v>403</v>
      </c>
      <c r="B378" t="s">
        <v>34</v>
      </c>
      <c r="C378" t="s">
        <v>23</v>
      </c>
      <c r="D378" t="s">
        <v>24</v>
      </c>
      <c r="E378" t="s">
        <v>17</v>
      </c>
      <c r="F378">
        <v>26</v>
      </c>
      <c r="G378">
        <v>48180.63</v>
      </c>
      <c r="H378">
        <v>22</v>
      </c>
      <c r="I378">
        <v>51</v>
      </c>
    </row>
    <row r="379" spans="1:9" x14ac:dyDescent="0.25">
      <c r="A379" t="s">
        <v>404</v>
      </c>
      <c r="B379" t="s">
        <v>34</v>
      </c>
      <c r="C379" t="s">
        <v>11</v>
      </c>
      <c r="D379" t="s">
        <v>21</v>
      </c>
      <c r="E379" t="s">
        <v>17</v>
      </c>
      <c r="F379">
        <v>73</v>
      </c>
      <c r="G379">
        <v>120973.32</v>
      </c>
      <c r="H379">
        <v>5</v>
      </c>
      <c r="I379">
        <v>71</v>
      </c>
    </row>
    <row r="380" spans="1:9" x14ac:dyDescent="0.25">
      <c r="A380" t="s">
        <v>405</v>
      </c>
      <c r="B380" t="s">
        <v>36</v>
      </c>
      <c r="C380" t="s">
        <v>40</v>
      </c>
      <c r="D380" t="s">
        <v>16</v>
      </c>
      <c r="E380" t="s">
        <v>17</v>
      </c>
      <c r="F380">
        <v>52</v>
      </c>
      <c r="G380">
        <v>73521.710000000006</v>
      </c>
      <c r="H380">
        <v>22</v>
      </c>
      <c r="I380">
        <v>76</v>
      </c>
    </row>
    <row r="381" spans="1:9" x14ac:dyDescent="0.25">
      <c r="A381" t="s">
        <v>406</v>
      </c>
      <c r="B381" t="s">
        <v>34</v>
      </c>
      <c r="C381" t="s">
        <v>20</v>
      </c>
      <c r="D381" t="s">
        <v>24</v>
      </c>
      <c r="E381" t="s">
        <v>13</v>
      </c>
      <c r="F381">
        <v>89</v>
      </c>
      <c r="G381">
        <v>198453.72</v>
      </c>
      <c r="H381">
        <v>19</v>
      </c>
      <c r="I381">
        <v>75</v>
      </c>
    </row>
    <row r="382" spans="1:9" x14ac:dyDescent="0.25">
      <c r="A382" t="s">
        <v>407</v>
      </c>
      <c r="B382" t="s">
        <v>34</v>
      </c>
      <c r="C382" t="s">
        <v>40</v>
      </c>
      <c r="D382" t="s">
        <v>12</v>
      </c>
      <c r="E382" t="s">
        <v>29</v>
      </c>
      <c r="F382">
        <v>7</v>
      </c>
      <c r="G382">
        <v>34296.07</v>
      </c>
      <c r="H382">
        <v>25</v>
      </c>
      <c r="I382">
        <v>60</v>
      </c>
    </row>
    <row r="383" spans="1:9" x14ac:dyDescent="0.25">
      <c r="A383" t="s">
        <v>408</v>
      </c>
      <c r="B383" t="s">
        <v>31</v>
      </c>
      <c r="C383" t="s">
        <v>11</v>
      </c>
      <c r="D383" t="s">
        <v>24</v>
      </c>
      <c r="E383" t="s">
        <v>13</v>
      </c>
      <c r="F383">
        <v>4</v>
      </c>
      <c r="G383">
        <v>166442.22</v>
      </c>
      <c r="H383">
        <v>28</v>
      </c>
      <c r="I383">
        <v>80</v>
      </c>
    </row>
    <row r="384" spans="1:9" x14ac:dyDescent="0.25">
      <c r="A384" t="s">
        <v>409</v>
      </c>
      <c r="B384" t="s">
        <v>10</v>
      </c>
      <c r="C384" t="s">
        <v>40</v>
      </c>
      <c r="D384" t="s">
        <v>21</v>
      </c>
      <c r="E384" t="s">
        <v>29</v>
      </c>
      <c r="F384">
        <v>23</v>
      </c>
      <c r="G384">
        <v>42080.7</v>
      </c>
      <c r="H384">
        <v>26</v>
      </c>
      <c r="I384">
        <v>100</v>
      </c>
    </row>
    <row r="385" spans="1:9" x14ac:dyDescent="0.25">
      <c r="A385" t="s">
        <v>410</v>
      </c>
      <c r="B385" t="s">
        <v>19</v>
      </c>
      <c r="C385" t="s">
        <v>40</v>
      </c>
      <c r="D385" t="s">
        <v>26</v>
      </c>
      <c r="E385" t="s">
        <v>13</v>
      </c>
      <c r="F385">
        <v>85</v>
      </c>
      <c r="G385">
        <v>39271.31</v>
      </c>
      <c r="H385">
        <v>22</v>
      </c>
      <c r="I385">
        <v>44</v>
      </c>
    </row>
    <row r="386" spans="1:9" x14ac:dyDescent="0.25">
      <c r="A386" t="s">
        <v>411</v>
      </c>
      <c r="B386" t="s">
        <v>10</v>
      </c>
      <c r="C386" t="s">
        <v>23</v>
      </c>
      <c r="D386" t="s">
        <v>21</v>
      </c>
      <c r="E386" t="s">
        <v>13</v>
      </c>
      <c r="F386">
        <v>78</v>
      </c>
      <c r="G386">
        <v>188237.03</v>
      </c>
      <c r="H386">
        <v>27</v>
      </c>
      <c r="I386">
        <v>43</v>
      </c>
    </row>
    <row r="387" spans="1:9" x14ac:dyDescent="0.25">
      <c r="A387" t="s">
        <v>412</v>
      </c>
      <c r="B387" t="s">
        <v>36</v>
      </c>
      <c r="C387" t="s">
        <v>40</v>
      </c>
      <c r="D387" t="s">
        <v>16</v>
      </c>
      <c r="E387" t="s">
        <v>17</v>
      </c>
      <c r="F387">
        <v>57</v>
      </c>
      <c r="G387">
        <v>88936.77</v>
      </c>
      <c r="H387">
        <v>25</v>
      </c>
      <c r="I387">
        <v>100</v>
      </c>
    </row>
    <row r="388" spans="1:9" x14ac:dyDescent="0.25">
      <c r="A388" t="s">
        <v>413</v>
      </c>
      <c r="B388" t="s">
        <v>31</v>
      </c>
      <c r="C388" t="s">
        <v>20</v>
      </c>
      <c r="D388" t="s">
        <v>16</v>
      </c>
      <c r="E388" t="s">
        <v>13</v>
      </c>
      <c r="F388">
        <v>62</v>
      </c>
      <c r="G388">
        <v>55708.89</v>
      </c>
      <c r="H388">
        <v>13</v>
      </c>
      <c r="I388">
        <v>40</v>
      </c>
    </row>
    <row r="389" spans="1:9" x14ac:dyDescent="0.25">
      <c r="A389" t="s">
        <v>414</v>
      </c>
      <c r="B389" t="s">
        <v>19</v>
      </c>
      <c r="C389" t="s">
        <v>11</v>
      </c>
      <c r="D389" t="s">
        <v>21</v>
      </c>
      <c r="E389" t="s">
        <v>29</v>
      </c>
      <c r="F389">
        <v>26</v>
      </c>
      <c r="G389">
        <v>43711.41</v>
      </c>
      <c r="H389">
        <v>30</v>
      </c>
      <c r="I389">
        <v>99</v>
      </c>
    </row>
    <row r="390" spans="1:9" x14ac:dyDescent="0.25">
      <c r="A390" t="s">
        <v>415</v>
      </c>
      <c r="B390" t="s">
        <v>31</v>
      </c>
      <c r="C390" t="s">
        <v>40</v>
      </c>
      <c r="D390" t="s">
        <v>26</v>
      </c>
      <c r="E390" t="s">
        <v>29</v>
      </c>
      <c r="F390">
        <v>60</v>
      </c>
      <c r="G390">
        <v>62271.77</v>
      </c>
      <c r="H390">
        <v>17</v>
      </c>
      <c r="I390">
        <v>84</v>
      </c>
    </row>
    <row r="391" spans="1:9" x14ac:dyDescent="0.25">
      <c r="A391" t="s">
        <v>416</v>
      </c>
      <c r="B391" t="s">
        <v>15</v>
      </c>
      <c r="C391" t="s">
        <v>23</v>
      </c>
      <c r="D391" t="s">
        <v>16</v>
      </c>
      <c r="E391" t="s">
        <v>29</v>
      </c>
      <c r="F391">
        <v>12</v>
      </c>
      <c r="G391">
        <v>124240.43</v>
      </c>
      <c r="H391">
        <v>21</v>
      </c>
      <c r="I391">
        <v>83</v>
      </c>
    </row>
    <row r="392" spans="1:9" x14ac:dyDescent="0.25">
      <c r="A392" t="s">
        <v>417</v>
      </c>
      <c r="B392" t="s">
        <v>15</v>
      </c>
      <c r="C392" t="s">
        <v>23</v>
      </c>
      <c r="D392" t="s">
        <v>26</v>
      </c>
      <c r="E392" t="s">
        <v>17</v>
      </c>
      <c r="F392">
        <v>3</v>
      </c>
      <c r="G392">
        <v>61634.04</v>
      </c>
      <c r="H392">
        <v>2</v>
      </c>
      <c r="I392">
        <v>86</v>
      </c>
    </row>
    <row r="393" spans="1:9" x14ac:dyDescent="0.25">
      <c r="A393" t="s">
        <v>418</v>
      </c>
      <c r="B393" t="s">
        <v>31</v>
      </c>
      <c r="C393" t="s">
        <v>40</v>
      </c>
      <c r="D393" t="s">
        <v>21</v>
      </c>
      <c r="E393" t="s">
        <v>29</v>
      </c>
      <c r="F393">
        <v>87</v>
      </c>
      <c r="G393">
        <v>145458.72</v>
      </c>
      <c r="H393">
        <v>24</v>
      </c>
      <c r="I393">
        <v>91</v>
      </c>
    </row>
    <row r="394" spans="1:9" x14ac:dyDescent="0.25">
      <c r="A394" t="s">
        <v>419</v>
      </c>
      <c r="B394" t="s">
        <v>19</v>
      </c>
      <c r="C394" t="s">
        <v>20</v>
      </c>
      <c r="D394" t="s">
        <v>26</v>
      </c>
      <c r="E394" t="s">
        <v>13</v>
      </c>
      <c r="F394">
        <v>1</v>
      </c>
      <c r="G394">
        <v>155164.76</v>
      </c>
      <c r="H394">
        <v>15</v>
      </c>
      <c r="I394">
        <v>59</v>
      </c>
    </row>
    <row r="395" spans="1:9" x14ac:dyDescent="0.25">
      <c r="A395" t="s">
        <v>420</v>
      </c>
      <c r="B395" t="s">
        <v>31</v>
      </c>
      <c r="C395" t="s">
        <v>23</v>
      </c>
      <c r="D395" t="s">
        <v>12</v>
      </c>
      <c r="E395" t="s">
        <v>17</v>
      </c>
      <c r="F395">
        <v>54</v>
      </c>
      <c r="G395">
        <v>175317.6</v>
      </c>
      <c r="H395">
        <v>29</v>
      </c>
      <c r="I395">
        <v>49</v>
      </c>
    </row>
    <row r="396" spans="1:9" x14ac:dyDescent="0.25">
      <c r="A396" t="s">
        <v>421</v>
      </c>
      <c r="B396" t="s">
        <v>31</v>
      </c>
      <c r="C396" t="s">
        <v>40</v>
      </c>
      <c r="D396" t="s">
        <v>24</v>
      </c>
      <c r="E396" t="s">
        <v>29</v>
      </c>
      <c r="F396">
        <v>51</v>
      </c>
      <c r="G396">
        <v>82118.69</v>
      </c>
      <c r="H396">
        <v>12</v>
      </c>
      <c r="I396">
        <v>58</v>
      </c>
    </row>
    <row r="397" spans="1:9" x14ac:dyDescent="0.25">
      <c r="A397" t="s">
        <v>422</v>
      </c>
      <c r="B397" t="s">
        <v>15</v>
      </c>
      <c r="C397" t="s">
        <v>20</v>
      </c>
      <c r="D397" t="s">
        <v>21</v>
      </c>
      <c r="E397" t="s">
        <v>29</v>
      </c>
      <c r="F397">
        <v>85</v>
      </c>
      <c r="G397">
        <v>8355</v>
      </c>
      <c r="H397">
        <v>7</v>
      </c>
      <c r="I397">
        <v>53</v>
      </c>
    </row>
    <row r="398" spans="1:9" x14ac:dyDescent="0.25">
      <c r="A398" t="s">
        <v>423</v>
      </c>
      <c r="B398" t="s">
        <v>19</v>
      </c>
      <c r="C398" t="s">
        <v>11</v>
      </c>
      <c r="D398" t="s">
        <v>24</v>
      </c>
      <c r="E398" t="s">
        <v>29</v>
      </c>
      <c r="F398">
        <v>13</v>
      </c>
      <c r="G398">
        <v>172646.27</v>
      </c>
      <c r="H398">
        <v>15</v>
      </c>
      <c r="I398">
        <v>71</v>
      </c>
    </row>
    <row r="399" spans="1:9" x14ac:dyDescent="0.25">
      <c r="A399" t="s">
        <v>424</v>
      </c>
      <c r="B399" t="s">
        <v>34</v>
      </c>
      <c r="C399" t="s">
        <v>40</v>
      </c>
      <c r="D399" t="s">
        <v>16</v>
      </c>
      <c r="E399" t="s">
        <v>17</v>
      </c>
      <c r="F399">
        <v>63</v>
      </c>
      <c r="G399">
        <v>126276.63</v>
      </c>
      <c r="H399">
        <v>24</v>
      </c>
      <c r="I399">
        <v>74</v>
      </c>
    </row>
    <row r="400" spans="1:9" x14ac:dyDescent="0.25">
      <c r="A400" t="s">
        <v>425</v>
      </c>
      <c r="B400" t="s">
        <v>19</v>
      </c>
      <c r="C400" t="s">
        <v>11</v>
      </c>
      <c r="D400" t="s">
        <v>16</v>
      </c>
      <c r="E400" t="s">
        <v>17</v>
      </c>
      <c r="F400">
        <v>13</v>
      </c>
      <c r="G400">
        <v>188986.13</v>
      </c>
      <c r="H400">
        <v>8</v>
      </c>
      <c r="I400">
        <v>77</v>
      </c>
    </row>
    <row r="401" spans="1:9" x14ac:dyDescent="0.25">
      <c r="A401" t="s">
        <v>426</v>
      </c>
      <c r="B401" t="s">
        <v>15</v>
      </c>
      <c r="C401" t="s">
        <v>20</v>
      </c>
      <c r="D401" t="s">
        <v>24</v>
      </c>
      <c r="E401" t="s">
        <v>17</v>
      </c>
      <c r="F401">
        <v>32</v>
      </c>
      <c r="G401">
        <v>141006.32999999999</v>
      </c>
      <c r="H401">
        <v>1</v>
      </c>
      <c r="I401">
        <v>68</v>
      </c>
    </row>
    <row r="402" spans="1:9" x14ac:dyDescent="0.25">
      <c r="A402" t="s">
        <v>427</v>
      </c>
      <c r="B402" t="s">
        <v>15</v>
      </c>
      <c r="C402" t="s">
        <v>20</v>
      </c>
      <c r="D402" t="s">
        <v>24</v>
      </c>
      <c r="E402" t="s">
        <v>29</v>
      </c>
      <c r="F402">
        <v>36</v>
      </c>
      <c r="G402">
        <v>13218.82</v>
      </c>
      <c r="H402">
        <v>2</v>
      </c>
      <c r="I402">
        <v>46</v>
      </c>
    </row>
    <row r="403" spans="1:9" x14ac:dyDescent="0.25">
      <c r="A403" t="s">
        <v>428</v>
      </c>
      <c r="B403" t="s">
        <v>10</v>
      </c>
      <c r="C403" t="s">
        <v>20</v>
      </c>
      <c r="D403" t="s">
        <v>21</v>
      </c>
      <c r="E403" t="s">
        <v>29</v>
      </c>
      <c r="F403">
        <v>65</v>
      </c>
      <c r="G403">
        <v>67820.899999999994</v>
      </c>
      <c r="H403">
        <v>4</v>
      </c>
      <c r="I403">
        <v>75</v>
      </c>
    </row>
    <row r="404" spans="1:9" x14ac:dyDescent="0.25">
      <c r="A404" t="s">
        <v>429</v>
      </c>
      <c r="B404" t="s">
        <v>10</v>
      </c>
      <c r="C404" t="s">
        <v>40</v>
      </c>
      <c r="D404" t="s">
        <v>21</v>
      </c>
      <c r="E404" t="s">
        <v>13</v>
      </c>
      <c r="F404">
        <v>25</v>
      </c>
      <c r="G404">
        <v>41931.949999999997</v>
      </c>
      <c r="H404">
        <v>3</v>
      </c>
      <c r="I404">
        <v>45</v>
      </c>
    </row>
    <row r="405" spans="1:9" x14ac:dyDescent="0.25">
      <c r="A405" t="s">
        <v>430</v>
      </c>
      <c r="B405" t="s">
        <v>31</v>
      </c>
      <c r="C405" t="s">
        <v>11</v>
      </c>
      <c r="D405" t="s">
        <v>24</v>
      </c>
      <c r="E405" t="s">
        <v>29</v>
      </c>
      <c r="F405">
        <v>2</v>
      </c>
      <c r="G405">
        <v>137097.98000000001</v>
      </c>
      <c r="H405">
        <v>18</v>
      </c>
      <c r="I405">
        <v>56</v>
      </c>
    </row>
    <row r="406" spans="1:9" x14ac:dyDescent="0.25">
      <c r="A406" t="s">
        <v>431</v>
      </c>
      <c r="B406" t="s">
        <v>31</v>
      </c>
      <c r="C406" t="s">
        <v>40</v>
      </c>
      <c r="D406" t="s">
        <v>24</v>
      </c>
      <c r="E406" t="s">
        <v>13</v>
      </c>
      <c r="F406">
        <v>22</v>
      </c>
      <c r="G406">
        <v>111041.52</v>
      </c>
      <c r="H406">
        <v>24</v>
      </c>
      <c r="I406">
        <v>60</v>
      </c>
    </row>
    <row r="407" spans="1:9" x14ac:dyDescent="0.25">
      <c r="A407" t="s">
        <v>432</v>
      </c>
      <c r="B407" t="s">
        <v>19</v>
      </c>
      <c r="C407" t="s">
        <v>23</v>
      </c>
      <c r="D407" t="s">
        <v>16</v>
      </c>
      <c r="E407" t="s">
        <v>13</v>
      </c>
      <c r="F407">
        <v>56</v>
      </c>
      <c r="G407">
        <v>49496.68</v>
      </c>
      <c r="H407">
        <v>4</v>
      </c>
      <c r="I407">
        <v>62</v>
      </c>
    </row>
    <row r="408" spans="1:9" x14ac:dyDescent="0.25">
      <c r="A408" t="s">
        <v>433</v>
      </c>
      <c r="B408" t="s">
        <v>10</v>
      </c>
      <c r="C408" t="s">
        <v>20</v>
      </c>
      <c r="D408" t="s">
        <v>12</v>
      </c>
      <c r="E408" t="s">
        <v>29</v>
      </c>
      <c r="F408">
        <v>82</v>
      </c>
      <c r="G408">
        <v>121318.92</v>
      </c>
      <c r="H408">
        <v>25</v>
      </c>
      <c r="I408">
        <v>44</v>
      </c>
    </row>
    <row r="409" spans="1:9" x14ac:dyDescent="0.25">
      <c r="A409" t="s">
        <v>434</v>
      </c>
      <c r="B409" t="s">
        <v>36</v>
      </c>
      <c r="C409" t="s">
        <v>11</v>
      </c>
      <c r="D409" t="s">
        <v>24</v>
      </c>
      <c r="E409" t="s">
        <v>29</v>
      </c>
      <c r="F409">
        <v>39</v>
      </c>
      <c r="G409">
        <v>62344.86</v>
      </c>
      <c r="H409">
        <v>27</v>
      </c>
      <c r="I409">
        <v>91</v>
      </c>
    </row>
    <row r="410" spans="1:9" x14ac:dyDescent="0.25">
      <c r="A410" t="s">
        <v>435</v>
      </c>
      <c r="B410" t="s">
        <v>19</v>
      </c>
      <c r="C410" t="s">
        <v>40</v>
      </c>
      <c r="D410" t="s">
        <v>16</v>
      </c>
      <c r="E410" t="s">
        <v>17</v>
      </c>
      <c r="F410">
        <v>81</v>
      </c>
      <c r="G410">
        <v>52339.54</v>
      </c>
      <c r="H410">
        <v>14</v>
      </c>
      <c r="I410">
        <v>62</v>
      </c>
    </row>
    <row r="411" spans="1:9" x14ac:dyDescent="0.25">
      <c r="A411" t="s">
        <v>436</v>
      </c>
      <c r="B411" t="s">
        <v>15</v>
      </c>
      <c r="C411" t="s">
        <v>20</v>
      </c>
      <c r="D411" t="s">
        <v>26</v>
      </c>
      <c r="E411" t="s">
        <v>17</v>
      </c>
      <c r="F411">
        <v>53</v>
      </c>
      <c r="G411">
        <v>33517.620000000003</v>
      </c>
      <c r="H411">
        <v>22</v>
      </c>
      <c r="I411">
        <v>91</v>
      </c>
    </row>
    <row r="412" spans="1:9" x14ac:dyDescent="0.25">
      <c r="A412" t="s">
        <v>437</v>
      </c>
      <c r="B412" t="s">
        <v>34</v>
      </c>
      <c r="C412" t="s">
        <v>20</v>
      </c>
      <c r="D412" t="s">
        <v>12</v>
      </c>
      <c r="E412" t="s">
        <v>29</v>
      </c>
      <c r="F412">
        <v>45</v>
      </c>
      <c r="G412">
        <v>123601.18</v>
      </c>
      <c r="H412">
        <v>12</v>
      </c>
      <c r="I412">
        <v>57</v>
      </c>
    </row>
    <row r="413" spans="1:9" x14ac:dyDescent="0.25">
      <c r="A413" t="s">
        <v>438</v>
      </c>
      <c r="B413" t="s">
        <v>19</v>
      </c>
      <c r="C413" t="s">
        <v>23</v>
      </c>
      <c r="D413" t="s">
        <v>16</v>
      </c>
      <c r="E413" t="s">
        <v>17</v>
      </c>
      <c r="F413">
        <v>33</v>
      </c>
      <c r="G413">
        <v>77643.61</v>
      </c>
      <c r="H413">
        <v>20</v>
      </c>
      <c r="I413">
        <v>79</v>
      </c>
    </row>
    <row r="414" spans="1:9" x14ac:dyDescent="0.25">
      <c r="A414" t="s">
        <v>439</v>
      </c>
      <c r="B414" t="s">
        <v>15</v>
      </c>
      <c r="C414" t="s">
        <v>23</v>
      </c>
      <c r="D414" t="s">
        <v>12</v>
      </c>
      <c r="E414" t="s">
        <v>29</v>
      </c>
      <c r="F414">
        <v>59</v>
      </c>
      <c r="G414">
        <v>113315.52</v>
      </c>
      <c r="H414">
        <v>9</v>
      </c>
      <c r="I414">
        <v>100</v>
      </c>
    </row>
    <row r="415" spans="1:9" x14ac:dyDescent="0.25">
      <c r="A415" t="s">
        <v>440</v>
      </c>
      <c r="B415" t="s">
        <v>15</v>
      </c>
      <c r="C415" t="s">
        <v>20</v>
      </c>
      <c r="D415" t="s">
        <v>12</v>
      </c>
      <c r="E415" t="s">
        <v>13</v>
      </c>
      <c r="F415">
        <v>47</v>
      </c>
      <c r="G415">
        <v>146120.45000000001</v>
      </c>
      <c r="H415">
        <v>27</v>
      </c>
      <c r="I415">
        <v>44</v>
      </c>
    </row>
    <row r="416" spans="1:9" x14ac:dyDescent="0.25">
      <c r="A416" t="s">
        <v>441</v>
      </c>
      <c r="B416" t="s">
        <v>36</v>
      </c>
      <c r="C416" t="s">
        <v>40</v>
      </c>
      <c r="D416" t="s">
        <v>26</v>
      </c>
      <c r="E416" t="s">
        <v>17</v>
      </c>
      <c r="F416">
        <v>50</v>
      </c>
      <c r="G416">
        <v>4637.95</v>
      </c>
      <c r="H416">
        <v>6</v>
      </c>
      <c r="I416">
        <v>61</v>
      </c>
    </row>
    <row r="417" spans="1:9" x14ac:dyDescent="0.25">
      <c r="A417" t="s">
        <v>442</v>
      </c>
      <c r="B417" t="s">
        <v>15</v>
      </c>
      <c r="C417" t="s">
        <v>20</v>
      </c>
      <c r="D417" t="s">
        <v>26</v>
      </c>
      <c r="E417" t="s">
        <v>17</v>
      </c>
      <c r="F417">
        <v>32</v>
      </c>
      <c r="G417">
        <v>166677.70000000001</v>
      </c>
      <c r="H417">
        <v>14</v>
      </c>
      <c r="I417">
        <v>60</v>
      </c>
    </row>
    <row r="418" spans="1:9" x14ac:dyDescent="0.25">
      <c r="A418" t="s">
        <v>443</v>
      </c>
      <c r="B418" t="s">
        <v>31</v>
      </c>
      <c r="C418" t="s">
        <v>40</v>
      </c>
      <c r="D418" t="s">
        <v>12</v>
      </c>
      <c r="E418" t="s">
        <v>17</v>
      </c>
      <c r="F418">
        <v>57</v>
      </c>
      <c r="G418">
        <v>84970.98</v>
      </c>
      <c r="H418">
        <v>10</v>
      </c>
      <c r="I418">
        <v>100</v>
      </c>
    </row>
    <row r="419" spans="1:9" x14ac:dyDescent="0.25">
      <c r="A419" t="s">
        <v>444</v>
      </c>
      <c r="B419" t="s">
        <v>15</v>
      </c>
      <c r="C419" t="s">
        <v>23</v>
      </c>
      <c r="D419" t="s">
        <v>24</v>
      </c>
      <c r="E419" t="s">
        <v>17</v>
      </c>
      <c r="F419">
        <v>67</v>
      </c>
      <c r="G419">
        <v>93675.66</v>
      </c>
      <c r="H419">
        <v>20</v>
      </c>
      <c r="I419">
        <v>78</v>
      </c>
    </row>
    <row r="420" spans="1:9" x14ac:dyDescent="0.25">
      <c r="A420" t="s">
        <v>445</v>
      </c>
      <c r="B420" t="s">
        <v>10</v>
      </c>
      <c r="C420" t="s">
        <v>23</v>
      </c>
      <c r="D420" t="s">
        <v>24</v>
      </c>
      <c r="E420" t="s">
        <v>17</v>
      </c>
      <c r="F420">
        <v>79</v>
      </c>
      <c r="G420">
        <v>93257.94</v>
      </c>
      <c r="H420">
        <v>9</v>
      </c>
      <c r="I420">
        <v>82</v>
      </c>
    </row>
    <row r="421" spans="1:9" x14ac:dyDescent="0.25">
      <c r="A421" t="s">
        <v>446</v>
      </c>
      <c r="B421" t="s">
        <v>19</v>
      </c>
      <c r="C421" t="s">
        <v>11</v>
      </c>
      <c r="D421" t="s">
        <v>24</v>
      </c>
      <c r="E421" t="s">
        <v>13</v>
      </c>
      <c r="F421">
        <v>20</v>
      </c>
      <c r="G421">
        <v>65864.850000000006</v>
      </c>
      <c r="H421">
        <v>22</v>
      </c>
      <c r="I421">
        <v>95</v>
      </c>
    </row>
    <row r="422" spans="1:9" x14ac:dyDescent="0.25">
      <c r="A422" t="s">
        <v>447</v>
      </c>
      <c r="B422" t="s">
        <v>19</v>
      </c>
      <c r="C422" t="s">
        <v>11</v>
      </c>
      <c r="D422" t="s">
        <v>21</v>
      </c>
      <c r="E422" t="s">
        <v>29</v>
      </c>
      <c r="F422">
        <v>35</v>
      </c>
      <c r="G422">
        <v>27754.48</v>
      </c>
      <c r="H422">
        <v>13</v>
      </c>
      <c r="I422">
        <v>45</v>
      </c>
    </row>
    <row r="423" spans="1:9" x14ac:dyDescent="0.25">
      <c r="A423" t="s">
        <v>448</v>
      </c>
      <c r="B423" t="s">
        <v>34</v>
      </c>
      <c r="C423" t="s">
        <v>23</v>
      </c>
      <c r="D423" t="s">
        <v>16</v>
      </c>
      <c r="E423" t="s">
        <v>29</v>
      </c>
      <c r="F423">
        <v>65</v>
      </c>
      <c r="G423">
        <v>178243.01</v>
      </c>
      <c r="H423">
        <v>15</v>
      </c>
      <c r="I423">
        <v>87</v>
      </c>
    </row>
    <row r="424" spans="1:9" x14ac:dyDescent="0.25">
      <c r="A424" t="s">
        <v>449</v>
      </c>
      <c r="B424" t="s">
        <v>34</v>
      </c>
      <c r="C424" t="s">
        <v>23</v>
      </c>
      <c r="D424" t="s">
        <v>21</v>
      </c>
      <c r="E424" t="s">
        <v>29</v>
      </c>
      <c r="F424">
        <v>72</v>
      </c>
      <c r="G424">
        <v>86670.61</v>
      </c>
      <c r="H424">
        <v>17</v>
      </c>
      <c r="I424">
        <v>60</v>
      </c>
    </row>
    <row r="425" spans="1:9" x14ac:dyDescent="0.25">
      <c r="A425" t="s">
        <v>450</v>
      </c>
      <c r="B425" t="s">
        <v>34</v>
      </c>
      <c r="C425" t="s">
        <v>23</v>
      </c>
      <c r="D425" t="s">
        <v>24</v>
      </c>
      <c r="E425" t="s">
        <v>29</v>
      </c>
      <c r="F425">
        <v>42</v>
      </c>
      <c r="G425">
        <v>66846.02</v>
      </c>
      <c r="H425">
        <v>6</v>
      </c>
      <c r="I425">
        <v>73</v>
      </c>
    </row>
    <row r="426" spans="1:9" x14ac:dyDescent="0.25">
      <c r="A426" t="s">
        <v>451</v>
      </c>
      <c r="B426" t="s">
        <v>19</v>
      </c>
      <c r="C426" t="s">
        <v>20</v>
      </c>
      <c r="D426" t="s">
        <v>26</v>
      </c>
      <c r="E426" t="s">
        <v>17</v>
      </c>
      <c r="F426">
        <v>12</v>
      </c>
      <c r="G426">
        <v>143304.72</v>
      </c>
      <c r="H426">
        <v>17</v>
      </c>
      <c r="I426">
        <v>90</v>
      </c>
    </row>
    <row r="427" spans="1:9" x14ac:dyDescent="0.25">
      <c r="A427" t="s">
        <v>452</v>
      </c>
      <c r="B427" t="s">
        <v>15</v>
      </c>
      <c r="C427" t="s">
        <v>23</v>
      </c>
      <c r="D427" t="s">
        <v>26</v>
      </c>
      <c r="E427" t="s">
        <v>17</v>
      </c>
      <c r="F427">
        <v>58</v>
      </c>
      <c r="G427">
        <v>189016.41</v>
      </c>
      <c r="H427">
        <v>12</v>
      </c>
      <c r="I427">
        <v>88</v>
      </c>
    </row>
    <row r="428" spans="1:9" x14ac:dyDescent="0.25">
      <c r="A428" t="s">
        <v>453</v>
      </c>
      <c r="B428" t="s">
        <v>15</v>
      </c>
      <c r="C428" t="s">
        <v>11</v>
      </c>
      <c r="D428" t="s">
        <v>26</v>
      </c>
      <c r="E428" t="s">
        <v>29</v>
      </c>
      <c r="F428">
        <v>32</v>
      </c>
      <c r="G428">
        <v>130440.68</v>
      </c>
      <c r="H428">
        <v>9</v>
      </c>
      <c r="I428">
        <v>52</v>
      </c>
    </row>
    <row r="429" spans="1:9" x14ac:dyDescent="0.25">
      <c r="A429" t="s">
        <v>454</v>
      </c>
      <c r="B429" t="s">
        <v>10</v>
      </c>
      <c r="C429" t="s">
        <v>11</v>
      </c>
      <c r="D429" t="s">
        <v>21</v>
      </c>
      <c r="E429" t="s">
        <v>29</v>
      </c>
      <c r="F429">
        <v>51</v>
      </c>
      <c r="G429">
        <v>77940.55</v>
      </c>
      <c r="H429">
        <v>22</v>
      </c>
      <c r="I429">
        <v>57</v>
      </c>
    </row>
    <row r="430" spans="1:9" x14ac:dyDescent="0.25">
      <c r="A430" t="s">
        <v>455</v>
      </c>
      <c r="B430" t="s">
        <v>15</v>
      </c>
      <c r="C430" t="s">
        <v>11</v>
      </c>
      <c r="D430" t="s">
        <v>26</v>
      </c>
      <c r="E430" t="s">
        <v>13</v>
      </c>
      <c r="F430">
        <v>66</v>
      </c>
      <c r="G430">
        <v>89520.22</v>
      </c>
      <c r="H430">
        <v>2</v>
      </c>
      <c r="I430">
        <v>65</v>
      </c>
    </row>
    <row r="431" spans="1:9" x14ac:dyDescent="0.25">
      <c r="A431" t="s">
        <v>456</v>
      </c>
      <c r="B431" t="s">
        <v>15</v>
      </c>
      <c r="C431" t="s">
        <v>11</v>
      </c>
      <c r="D431" t="s">
        <v>24</v>
      </c>
      <c r="E431" t="s">
        <v>17</v>
      </c>
      <c r="F431">
        <v>70</v>
      </c>
      <c r="G431">
        <v>130891.41</v>
      </c>
      <c r="H431">
        <v>9</v>
      </c>
      <c r="I431">
        <v>45</v>
      </c>
    </row>
    <row r="432" spans="1:9" x14ac:dyDescent="0.25">
      <c r="A432" t="s">
        <v>457</v>
      </c>
      <c r="B432" t="s">
        <v>31</v>
      </c>
      <c r="C432" t="s">
        <v>40</v>
      </c>
      <c r="D432" t="s">
        <v>21</v>
      </c>
      <c r="E432" t="s">
        <v>29</v>
      </c>
      <c r="F432">
        <v>75</v>
      </c>
      <c r="G432">
        <v>33560.699999999997</v>
      </c>
      <c r="H432">
        <v>25</v>
      </c>
      <c r="I432">
        <v>78</v>
      </c>
    </row>
    <row r="433" spans="1:9" x14ac:dyDescent="0.25">
      <c r="A433" t="s">
        <v>458</v>
      </c>
      <c r="B433" t="s">
        <v>36</v>
      </c>
      <c r="C433" t="s">
        <v>40</v>
      </c>
      <c r="D433" t="s">
        <v>26</v>
      </c>
      <c r="E433" t="s">
        <v>13</v>
      </c>
      <c r="F433">
        <v>18</v>
      </c>
      <c r="G433">
        <v>147238.28</v>
      </c>
      <c r="H433">
        <v>24</v>
      </c>
      <c r="I433">
        <v>95</v>
      </c>
    </row>
    <row r="434" spans="1:9" x14ac:dyDescent="0.25">
      <c r="A434" t="s">
        <v>459</v>
      </c>
      <c r="B434" t="s">
        <v>36</v>
      </c>
      <c r="C434" t="s">
        <v>23</v>
      </c>
      <c r="D434" t="s">
        <v>21</v>
      </c>
      <c r="E434" t="s">
        <v>29</v>
      </c>
      <c r="F434">
        <v>19</v>
      </c>
      <c r="G434">
        <v>25471.09</v>
      </c>
      <c r="H434">
        <v>19</v>
      </c>
      <c r="I434">
        <v>46</v>
      </c>
    </row>
    <row r="435" spans="1:9" x14ac:dyDescent="0.25">
      <c r="A435" t="s">
        <v>460</v>
      </c>
      <c r="B435" t="s">
        <v>15</v>
      </c>
      <c r="C435" t="s">
        <v>11</v>
      </c>
      <c r="D435" t="s">
        <v>26</v>
      </c>
      <c r="E435" t="s">
        <v>17</v>
      </c>
      <c r="F435">
        <v>24</v>
      </c>
      <c r="G435">
        <v>112601</v>
      </c>
      <c r="H435">
        <v>7</v>
      </c>
      <c r="I435">
        <v>68</v>
      </c>
    </row>
    <row r="436" spans="1:9" x14ac:dyDescent="0.25">
      <c r="A436" t="s">
        <v>461</v>
      </c>
      <c r="B436" t="s">
        <v>31</v>
      </c>
      <c r="C436" t="s">
        <v>40</v>
      </c>
      <c r="D436" t="s">
        <v>21</v>
      </c>
      <c r="E436" t="s">
        <v>29</v>
      </c>
      <c r="F436">
        <v>63</v>
      </c>
      <c r="G436">
        <v>170549.07</v>
      </c>
      <c r="H436">
        <v>23</v>
      </c>
      <c r="I436">
        <v>99</v>
      </c>
    </row>
    <row r="437" spans="1:9" x14ac:dyDescent="0.25">
      <c r="A437" t="s">
        <v>462</v>
      </c>
      <c r="B437" t="s">
        <v>10</v>
      </c>
      <c r="C437" t="s">
        <v>20</v>
      </c>
      <c r="D437" t="s">
        <v>21</v>
      </c>
      <c r="E437" t="s">
        <v>17</v>
      </c>
      <c r="F437">
        <v>90</v>
      </c>
      <c r="G437">
        <v>68409.53</v>
      </c>
      <c r="H437">
        <v>25</v>
      </c>
      <c r="I437">
        <v>95</v>
      </c>
    </row>
    <row r="438" spans="1:9" x14ac:dyDescent="0.25">
      <c r="A438" t="s">
        <v>463</v>
      </c>
      <c r="B438" t="s">
        <v>10</v>
      </c>
      <c r="C438" t="s">
        <v>20</v>
      </c>
      <c r="D438" t="s">
        <v>24</v>
      </c>
      <c r="E438" t="s">
        <v>13</v>
      </c>
      <c r="F438">
        <v>7</v>
      </c>
      <c r="G438">
        <v>75273.59</v>
      </c>
      <c r="H438">
        <v>27</v>
      </c>
      <c r="I438">
        <v>81</v>
      </c>
    </row>
    <row r="439" spans="1:9" x14ac:dyDescent="0.25">
      <c r="A439" t="s">
        <v>464</v>
      </c>
      <c r="B439" t="s">
        <v>34</v>
      </c>
      <c r="C439" t="s">
        <v>40</v>
      </c>
      <c r="D439" t="s">
        <v>24</v>
      </c>
      <c r="E439" t="s">
        <v>13</v>
      </c>
      <c r="F439">
        <v>71</v>
      </c>
      <c r="G439">
        <v>31763.29</v>
      </c>
      <c r="H439">
        <v>28</v>
      </c>
      <c r="I439">
        <v>76</v>
      </c>
    </row>
    <row r="440" spans="1:9" x14ac:dyDescent="0.25">
      <c r="A440" t="s">
        <v>465</v>
      </c>
      <c r="B440" t="s">
        <v>36</v>
      </c>
      <c r="C440" t="s">
        <v>20</v>
      </c>
      <c r="D440" t="s">
        <v>16</v>
      </c>
      <c r="E440" t="s">
        <v>13</v>
      </c>
      <c r="F440">
        <v>10</v>
      </c>
      <c r="G440">
        <v>94319.57</v>
      </c>
      <c r="H440">
        <v>12</v>
      </c>
      <c r="I440">
        <v>74</v>
      </c>
    </row>
    <row r="441" spans="1:9" x14ac:dyDescent="0.25">
      <c r="A441" t="s">
        <v>466</v>
      </c>
      <c r="B441" t="s">
        <v>36</v>
      </c>
      <c r="C441" t="s">
        <v>40</v>
      </c>
      <c r="D441" t="s">
        <v>12</v>
      </c>
      <c r="E441" t="s">
        <v>29</v>
      </c>
      <c r="F441">
        <v>23</v>
      </c>
      <c r="G441">
        <v>102066.95</v>
      </c>
      <c r="H441">
        <v>18</v>
      </c>
      <c r="I441">
        <v>100</v>
      </c>
    </row>
    <row r="442" spans="1:9" x14ac:dyDescent="0.25">
      <c r="A442" t="s">
        <v>467</v>
      </c>
      <c r="B442" t="s">
        <v>31</v>
      </c>
      <c r="C442" t="s">
        <v>20</v>
      </c>
      <c r="D442" t="s">
        <v>26</v>
      </c>
      <c r="E442" t="s">
        <v>13</v>
      </c>
      <c r="F442">
        <v>44</v>
      </c>
      <c r="G442">
        <v>94295.51</v>
      </c>
      <c r="H442">
        <v>14</v>
      </c>
      <c r="I442">
        <v>58</v>
      </c>
    </row>
    <row r="443" spans="1:9" x14ac:dyDescent="0.25">
      <c r="A443" t="s">
        <v>468</v>
      </c>
      <c r="B443" t="s">
        <v>19</v>
      </c>
      <c r="C443" t="s">
        <v>40</v>
      </c>
      <c r="D443" t="s">
        <v>21</v>
      </c>
      <c r="E443" t="s">
        <v>17</v>
      </c>
      <c r="F443">
        <v>43</v>
      </c>
      <c r="G443">
        <v>34785.9</v>
      </c>
      <c r="H443">
        <v>20</v>
      </c>
      <c r="I443">
        <v>52</v>
      </c>
    </row>
    <row r="444" spans="1:9" x14ac:dyDescent="0.25">
      <c r="A444" t="s">
        <v>469</v>
      </c>
      <c r="B444" t="s">
        <v>31</v>
      </c>
      <c r="C444" t="s">
        <v>23</v>
      </c>
      <c r="D444" t="s">
        <v>26</v>
      </c>
      <c r="E444" t="s">
        <v>17</v>
      </c>
      <c r="F444">
        <v>44</v>
      </c>
      <c r="G444">
        <v>100789.32</v>
      </c>
      <c r="H444">
        <v>8</v>
      </c>
      <c r="I444">
        <v>41</v>
      </c>
    </row>
    <row r="445" spans="1:9" x14ac:dyDescent="0.25">
      <c r="A445" t="s">
        <v>470</v>
      </c>
      <c r="B445" t="s">
        <v>36</v>
      </c>
      <c r="C445" t="s">
        <v>11</v>
      </c>
      <c r="D445" t="s">
        <v>12</v>
      </c>
      <c r="E445" t="s">
        <v>29</v>
      </c>
      <c r="F445">
        <v>40</v>
      </c>
      <c r="G445">
        <v>148475.35</v>
      </c>
      <c r="H445">
        <v>3</v>
      </c>
      <c r="I445">
        <v>91</v>
      </c>
    </row>
    <row r="446" spans="1:9" x14ac:dyDescent="0.25">
      <c r="A446" t="s">
        <v>471</v>
      </c>
      <c r="B446" t="s">
        <v>34</v>
      </c>
      <c r="C446" t="s">
        <v>20</v>
      </c>
      <c r="D446" t="s">
        <v>12</v>
      </c>
      <c r="E446" t="s">
        <v>17</v>
      </c>
      <c r="F446">
        <v>37</v>
      </c>
      <c r="G446">
        <v>87343.56</v>
      </c>
      <c r="H446">
        <v>21</v>
      </c>
      <c r="I446">
        <v>82</v>
      </c>
    </row>
    <row r="447" spans="1:9" x14ac:dyDescent="0.25">
      <c r="A447" t="s">
        <v>472</v>
      </c>
      <c r="B447" t="s">
        <v>34</v>
      </c>
      <c r="C447" t="s">
        <v>23</v>
      </c>
      <c r="D447" t="s">
        <v>24</v>
      </c>
      <c r="E447" t="s">
        <v>29</v>
      </c>
      <c r="F447">
        <v>65</v>
      </c>
      <c r="G447">
        <v>187441.77</v>
      </c>
      <c r="H447">
        <v>18</v>
      </c>
      <c r="I447">
        <v>47</v>
      </c>
    </row>
    <row r="448" spans="1:9" x14ac:dyDescent="0.25">
      <c r="A448" t="s">
        <v>473</v>
      </c>
      <c r="B448" t="s">
        <v>36</v>
      </c>
      <c r="C448" t="s">
        <v>20</v>
      </c>
      <c r="D448" t="s">
        <v>21</v>
      </c>
      <c r="E448" t="s">
        <v>13</v>
      </c>
      <c r="F448">
        <v>29</v>
      </c>
      <c r="G448">
        <v>166090.72</v>
      </c>
      <c r="H448">
        <v>8</v>
      </c>
      <c r="I448">
        <v>83</v>
      </c>
    </row>
    <row r="449" spans="1:9" x14ac:dyDescent="0.25">
      <c r="A449" t="s">
        <v>474</v>
      </c>
      <c r="B449" t="s">
        <v>10</v>
      </c>
      <c r="C449" t="s">
        <v>23</v>
      </c>
      <c r="D449" t="s">
        <v>26</v>
      </c>
      <c r="E449" t="s">
        <v>17</v>
      </c>
      <c r="F449">
        <v>4</v>
      </c>
      <c r="G449">
        <v>114719.57</v>
      </c>
      <c r="H449">
        <v>11</v>
      </c>
      <c r="I449">
        <v>87</v>
      </c>
    </row>
    <row r="450" spans="1:9" x14ac:dyDescent="0.25">
      <c r="A450" t="s">
        <v>475</v>
      </c>
      <c r="B450" t="s">
        <v>19</v>
      </c>
      <c r="C450" t="s">
        <v>40</v>
      </c>
      <c r="D450" t="s">
        <v>26</v>
      </c>
      <c r="E450" t="s">
        <v>13</v>
      </c>
      <c r="F450">
        <v>88</v>
      </c>
      <c r="G450">
        <v>62991.199999999997</v>
      </c>
      <c r="H450">
        <v>17</v>
      </c>
      <c r="I450">
        <v>49</v>
      </c>
    </row>
    <row r="451" spans="1:9" x14ac:dyDescent="0.25">
      <c r="A451" t="s">
        <v>476</v>
      </c>
      <c r="B451" t="s">
        <v>31</v>
      </c>
      <c r="C451" t="s">
        <v>23</v>
      </c>
      <c r="D451" t="s">
        <v>12</v>
      </c>
      <c r="E451" t="s">
        <v>29</v>
      </c>
      <c r="F451">
        <v>15</v>
      </c>
      <c r="G451">
        <v>92547.92</v>
      </c>
      <c r="H451">
        <v>19</v>
      </c>
      <c r="I451">
        <v>43</v>
      </c>
    </row>
    <row r="452" spans="1:9" x14ac:dyDescent="0.25">
      <c r="A452" t="s">
        <v>477</v>
      </c>
      <c r="B452" t="s">
        <v>19</v>
      </c>
      <c r="C452" t="s">
        <v>23</v>
      </c>
      <c r="D452" t="s">
        <v>21</v>
      </c>
      <c r="E452" t="s">
        <v>29</v>
      </c>
      <c r="F452">
        <v>6</v>
      </c>
      <c r="G452">
        <v>51355.74</v>
      </c>
      <c r="H452">
        <v>16</v>
      </c>
      <c r="I452">
        <v>82</v>
      </c>
    </row>
    <row r="453" spans="1:9" x14ac:dyDescent="0.25">
      <c r="A453" t="s">
        <v>478</v>
      </c>
      <c r="B453" t="s">
        <v>34</v>
      </c>
      <c r="C453" t="s">
        <v>11</v>
      </c>
      <c r="D453" t="s">
        <v>12</v>
      </c>
      <c r="E453" t="s">
        <v>29</v>
      </c>
      <c r="F453">
        <v>46</v>
      </c>
      <c r="G453">
        <v>199853.71</v>
      </c>
      <c r="H453">
        <v>8</v>
      </c>
      <c r="I453">
        <v>78</v>
      </c>
    </row>
    <row r="454" spans="1:9" x14ac:dyDescent="0.25">
      <c r="A454" t="s">
        <v>479</v>
      </c>
      <c r="B454" t="s">
        <v>31</v>
      </c>
      <c r="C454" t="s">
        <v>40</v>
      </c>
      <c r="D454" t="s">
        <v>21</v>
      </c>
      <c r="E454" t="s">
        <v>29</v>
      </c>
      <c r="F454">
        <v>61</v>
      </c>
      <c r="G454">
        <v>148918.47</v>
      </c>
      <c r="H454">
        <v>10</v>
      </c>
      <c r="I454">
        <v>85</v>
      </c>
    </row>
    <row r="455" spans="1:9" x14ac:dyDescent="0.25">
      <c r="A455" t="s">
        <v>480</v>
      </c>
      <c r="B455" t="s">
        <v>10</v>
      </c>
      <c r="C455" t="s">
        <v>23</v>
      </c>
      <c r="D455" t="s">
        <v>16</v>
      </c>
      <c r="E455" t="s">
        <v>13</v>
      </c>
      <c r="F455">
        <v>83</v>
      </c>
      <c r="G455">
        <v>33787.760000000002</v>
      </c>
      <c r="H455">
        <v>7</v>
      </c>
      <c r="I455">
        <v>89</v>
      </c>
    </row>
    <row r="456" spans="1:9" x14ac:dyDescent="0.25">
      <c r="A456" t="s">
        <v>481</v>
      </c>
      <c r="B456" t="s">
        <v>31</v>
      </c>
      <c r="C456" t="s">
        <v>11</v>
      </c>
      <c r="D456" t="s">
        <v>16</v>
      </c>
      <c r="E456" t="s">
        <v>17</v>
      </c>
      <c r="F456">
        <v>26</v>
      </c>
      <c r="G456">
        <v>93480.9</v>
      </c>
      <c r="H456">
        <v>20</v>
      </c>
      <c r="I456">
        <v>71</v>
      </c>
    </row>
    <row r="457" spans="1:9" x14ac:dyDescent="0.25">
      <c r="A457" t="s">
        <v>482</v>
      </c>
      <c r="B457" t="s">
        <v>31</v>
      </c>
      <c r="C457" t="s">
        <v>40</v>
      </c>
      <c r="D457" t="s">
        <v>16</v>
      </c>
      <c r="E457" t="s">
        <v>29</v>
      </c>
      <c r="F457">
        <v>9</v>
      </c>
      <c r="G457">
        <v>21007.86</v>
      </c>
      <c r="H457">
        <v>13</v>
      </c>
      <c r="I457">
        <v>41</v>
      </c>
    </row>
    <row r="458" spans="1:9" x14ac:dyDescent="0.25">
      <c r="A458" t="s">
        <v>483</v>
      </c>
      <c r="B458" t="s">
        <v>31</v>
      </c>
      <c r="C458" t="s">
        <v>40</v>
      </c>
      <c r="D458" t="s">
        <v>12</v>
      </c>
      <c r="E458" t="s">
        <v>29</v>
      </c>
      <c r="F458">
        <v>78</v>
      </c>
      <c r="G458">
        <v>91364.17</v>
      </c>
      <c r="H458">
        <v>9</v>
      </c>
      <c r="I458">
        <v>68</v>
      </c>
    </row>
    <row r="459" spans="1:9" x14ac:dyDescent="0.25">
      <c r="A459" t="s">
        <v>484</v>
      </c>
      <c r="B459" t="s">
        <v>10</v>
      </c>
      <c r="C459" t="s">
        <v>23</v>
      </c>
      <c r="D459" t="s">
        <v>24</v>
      </c>
      <c r="E459" t="s">
        <v>13</v>
      </c>
      <c r="F459">
        <v>21</v>
      </c>
      <c r="G459">
        <v>78053.31</v>
      </c>
      <c r="H459">
        <v>28</v>
      </c>
      <c r="I459">
        <v>75</v>
      </c>
    </row>
    <row r="460" spans="1:9" x14ac:dyDescent="0.25">
      <c r="A460" t="s">
        <v>485</v>
      </c>
      <c r="B460" t="s">
        <v>19</v>
      </c>
      <c r="C460" t="s">
        <v>40</v>
      </c>
      <c r="D460" t="s">
        <v>24</v>
      </c>
      <c r="E460" t="s">
        <v>17</v>
      </c>
      <c r="F460">
        <v>7</v>
      </c>
      <c r="G460">
        <v>53411.87</v>
      </c>
      <c r="H460">
        <v>11</v>
      </c>
      <c r="I460">
        <v>87</v>
      </c>
    </row>
    <row r="461" spans="1:9" x14ac:dyDescent="0.25">
      <c r="A461" t="s">
        <v>486</v>
      </c>
      <c r="B461" t="s">
        <v>31</v>
      </c>
      <c r="C461" t="s">
        <v>23</v>
      </c>
      <c r="D461" t="s">
        <v>26</v>
      </c>
      <c r="E461" t="s">
        <v>29</v>
      </c>
      <c r="F461">
        <v>56</v>
      </c>
      <c r="G461">
        <v>175047.97</v>
      </c>
      <c r="H461">
        <v>26</v>
      </c>
      <c r="I461">
        <v>48</v>
      </c>
    </row>
    <row r="462" spans="1:9" x14ac:dyDescent="0.25">
      <c r="A462" t="s">
        <v>487</v>
      </c>
      <c r="B462" t="s">
        <v>34</v>
      </c>
      <c r="C462" t="s">
        <v>40</v>
      </c>
      <c r="D462" t="s">
        <v>21</v>
      </c>
      <c r="E462" t="s">
        <v>13</v>
      </c>
      <c r="F462">
        <v>73</v>
      </c>
      <c r="G462">
        <v>11832.16</v>
      </c>
      <c r="H462">
        <v>13</v>
      </c>
      <c r="I462">
        <v>68</v>
      </c>
    </row>
    <row r="463" spans="1:9" x14ac:dyDescent="0.25">
      <c r="A463" t="s">
        <v>488</v>
      </c>
      <c r="B463" t="s">
        <v>19</v>
      </c>
      <c r="C463" t="s">
        <v>40</v>
      </c>
      <c r="D463" t="s">
        <v>16</v>
      </c>
      <c r="E463" t="s">
        <v>29</v>
      </c>
      <c r="F463">
        <v>49</v>
      </c>
      <c r="G463">
        <v>71245.39</v>
      </c>
      <c r="H463">
        <v>11</v>
      </c>
      <c r="I463">
        <v>60</v>
      </c>
    </row>
    <row r="464" spans="1:9" x14ac:dyDescent="0.25">
      <c r="A464" t="s">
        <v>489</v>
      </c>
      <c r="B464" t="s">
        <v>34</v>
      </c>
      <c r="C464" t="s">
        <v>11</v>
      </c>
      <c r="D464" t="s">
        <v>24</v>
      </c>
      <c r="E464" t="s">
        <v>17</v>
      </c>
      <c r="F464">
        <v>3</v>
      </c>
      <c r="G464">
        <v>167379.32</v>
      </c>
      <c r="H464">
        <v>10</v>
      </c>
      <c r="I464">
        <v>76</v>
      </c>
    </row>
    <row r="465" spans="1:9" x14ac:dyDescent="0.25">
      <c r="A465" t="s">
        <v>490</v>
      </c>
      <c r="B465" t="s">
        <v>31</v>
      </c>
      <c r="C465" t="s">
        <v>11</v>
      </c>
      <c r="D465" t="s">
        <v>12</v>
      </c>
      <c r="E465" t="s">
        <v>17</v>
      </c>
      <c r="F465">
        <v>40</v>
      </c>
      <c r="G465">
        <v>160480.32000000001</v>
      </c>
      <c r="H465">
        <v>17</v>
      </c>
      <c r="I465">
        <v>62</v>
      </c>
    </row>
    <row r="466" spans="1:9" x14ac:dyDescent="0.25">
      <c r="A466" t="s">
        <v>491</v>
      </c>
      <c r="B466" t="s">
        <v>31</v>
      </c>
      <c r="C466" t="s">
        <v>11</v>
      </c>
      <c r="D466" t="s">
        <v>12</v>
      </c>
      <c r="E466" t="s">
        <v>29</v>
      </c>
      <c r="F466">
        <v>77</v>
      </c>
      <c r="G466">
        <v>26180.15</v>
      </c>
      <c r="H466">
        <v>16</v>
      </c>
      <c r="I466">
        <v>66</v>
      </c>
    </row>
    <row r="467" spans="1:9" x14ac:dyDescent="0.25">
      <c r="A467" t="s">
        <v>492</v>
      </c>
      <c r="B467" t="s">
        <v>10</v>
      </c>
      <c r="C467" t="s">
        <v>20</v>
      </c>
      <c r="D467" t="s">
        <v>21</v>
      </c>
      <c r="E467" t="s">
        <v>17</v>
      </c>
      <c r="F467">
        <v>53</v>
      </c>
      <c r="G467">
        <v>153593.79999999999</v>
      </c>
      <c r="H467">
        <v>5</v>
      </c>
      <c r="I467">
        <v>49</v>
      </c>
    </row>
    <row r="468" spans="1:9" x14ac:dyDescent="0.25">
      <c r="A468" t="s">
        <v>493</v>
      </c>
      <c r="B468" t="s">
        <v>19</v>
      </c>
      <c r="C468" t="s">
        <v>11</v>
      </c>
      <c r="D468" t="s">
        <v>21</v>
      </c>
      <c r="E468" t="s">
        <v>13</v>
      </c>
      <c r="F468">
        <v>38</v>
      </c>
      <c r="G468">
        <v>118133.91</v>
      </c>
      <c r="H468">
        <v>12</v>
      </c>
      <c r="I468">
        <v>99</v>
      </c>
    </row>
    <row r="469" spans="1:9" x14ac:dyDescent="0.25">
      <c r="A469" t="s">
        <v>494</v>
      </c>
      <c r="B469" t="s">
        <v>15</v>
      </c>
      <c r="C469" t="s">
        <v>40</v>
      </c>
      <c r="D469" t="s">
        <v>21</v>
      </c>
      <c r="E469" t="s">
        <v>29</v>
      </c>
      <c r="F469">
        <v>76</v>
      </c>
      <c r="G469">
        <v>69602.539999999994</v>
      </c>
      <c r="H469">
        <v>2</v>
      </c>
      <c r="I469">
        <v>82</v>
      </c>
    </row>
    <row r="470" spans="1:9" x14ac:dyDescent="0.25">
      <c r="A470" t="s">
        <v>495</v>
      </c>
      <c r="B470" t="s">
        <v>31</v>
      </c>
      <c r="C470" t="s">
        <v>40</v>
      </c>
      <c r="D470" t="s">
        <v>26</v>
      </c>
      <c r="E470" t="s">
        <v>13</v>
      </c>
      <c r="F470">
        <v>1</v>
      </c>
      <c r="G470">
        <v>149519.22</v>
      </c>
      <c r="H470">
        <v>9</v>
      </c>
      <c r="I470">
        <v>86</v>
      </c>
    </row>
    <row r="471" spans="1:9" x14ac:dyDescent="0.25">
      <c r="A471" t="s">
        <v>496</v>
      </c>
      <c r="B471" t="s">
        <v>10</v>
      </c>
      <c r="C471" t="s">
        <v>40</v>
      </c>
      <c r="D471" t="s">
        <v>12</v>
      </c>
      <c r="E471" t="s">
        <v>29</v>
      </c>
      <c r="F471">
        <v>20</v>
      </c>
      <c r="G471">
        <v>21769.38</v>
      </c>
      <c r="H471">
        <v>5</v>
      </c>
      <c r="I471">
        <v>85</v>
      </c>
    </row>
    <row r="472" spans="1:9" x14ac:dyDescent="0.25">
      <c r="A472" t="s">
        <v>497</v>
      </c>
      <c r="B472" t="s">
        <v>36</v>
      </c>
      <c r="C472" t="s">
        <v>23</v>
      </c>
      <c r="D472" t="s">
        <v>12</v>
      </c>
      <c r="E472" t="s">
        <v>17</v>
      </c>
      <c r="F472">
        <v>24</v>
      </c>
      <c r="G472">
        <v>137006.32</v>
      </c>
      <c r="H472">
        <v>15</v>
      </c>
      <c r="I472">
        <v>81</v>
      </c>
    </row>
    <row r="473" spans="1:9" x14ac:dyDescent="0.25">
      <c r="A473" t="s">
        <v>498</v>
      </c>
      <c r="B473" t="s">
        <v>36</v>
      </c>
      <c r="C473" t="s">
        <v>11</v>
      </c>
      <c r="D473" t="s">
        <v>12</v>
      </c>
      <c r="E473" t="s">
        <v>17</v>
      </c>
      <c r="F473">
        <v>2</v>
      </c>
      <c r="G473">
        <v>122489.12</v>
      </c>
      <c r="H473">
        <v>4</v>
      </c>
      <c r="I473">
        <v>42</v>
      </c>
    </row>
    <row r="474" spans="1:9" x14ac:dyDescent="0.25">
      <c r="A474" t="s">
        <v>499</v>
      </c>
      <c r="B474" t="s">
        <v>10</v>
      </c>
      <c r="C474" t="s">
        <v>40</v>
      </c>
      <c r="D474" t="s">
        <v>26</v>
      </c>
      <c r="E474" t="s">
        <v>17</v>
      </c>
      <c r="F474">
        <v>50</v>
      </c>
      <c r="G474">
        <v>191352.7</v>
      </c>
      <c r="H474">
        <v>8</v>
      </c>
      <c r="I474">
        <v>73</v>
      </c>
    </row>
    <row r="475" spans="1:9" x14ac:dyDescent="0.25">
      <c r="A475" t="s">
        <v>500</v>
      </c>
      <c r="B475" t="s">
        <v>34</v>
      </c>
      <c r="C475" t="s">
        <v>20</v>
      </c>
      <c r="D475" t="s">
        <v>24</v>
      </c>
      <c r="E475" t="s">
        <v>17</v>
      </c>
      <c r="F475">
        <v>57</v>
      </c>
      <c r="G475">
        <v>146935.99</v>
      </c>
      <c r="H475">
        <v>30</v>
      </c>
      <c r="I475">
        <v>41</v>
      </c>
    </row>
    <row r="476" spans="1:9" x14ac:dyDescent="0.25">
      <c r="A476" t="s">
        <v>501</v>
      </c>
      <c r="B476" t="s">
        <v>31</v>
      </c>
      <c r="C476" t="s">
        <v>11</v>
      </c>
      <c r="D476" t="s">
        <v>16</v>
      </c>
      <c r="E476" t="s">
        <v>13</v>
      </c>
      <c r="F476">
        <v>54</v>
      </c>
      <c r="G476">
        <v>158997.92000000001</v>
      </c>
      <c r="H476">
        <v>12</v>
      </c>
      <c r="I476">
        <v>85</v>
      </c>
    </row>
    <row r="477" spans="1:9" x14ac:dyDescent="0.25">
      <c r="A477" t="s">
        <v>502</v>
      </c>
      <c r="B477" t="s">
        <v>36</v>
      </c>
      <c r="C477" t="s">
        <v>23</v>
      </c>
      <c r="D477" t="s">
        <v>24</v>
      </c>
      <c r="E477" t="s">
        <v>17</v>
      </c>
      <c r="F477">
        <v>88</v>
      </c>
      <c r="G477">
        <v>71868.820000000007</v>
      </c>
      <c r="H477">
        <v>30</v>
      </c>
      <c r="I477">
        <v>49</v>
      </c>
    </row>
    <row r="478" spans="1:9" x14ac:dyDescent="0.25">
      <c r="A478" t="s">
        <v>503</v>
      </c>
      <c r="B478" t="s">
        <v>31</v>
      </c>
      <c r="C478" t="s">
        <v>40</v>
      </c>
      <c r="D478" t="s">
        <v>21</v>
      </c>
      <c r="E478" t="s">
        <v>29</v>
      </c>
      <c r="F478">
        <v>15</v>
      </c>
      <c r="G478">
        <v>155880.26</v>
      </c>
      <c r="H478">
        <v>4</v>
      </c>
      <c r="I478">
        <v>74</v>
      </c>
    </row>
    <row r="479" spans="1:9" x14ac:dyDescent="0.25">
      <c r="A479" t="s">
        <v>504</v>
      </c>
      <c r="B479" t="s">
        <v>15</v>
      </c>
      <c r="C479" t="s">
        <v>20</v>
      </c>
      <c r="D479" t="s">
        <v>24</v>
      </c>
      <c r="E479" t="s">
        <v>13</v>
      </c>
      <c r="F479">
        <v>9</v>
      </c>
      <c r="G479">
        <v>114222.8</v>
      </c>
      <c r="H479">
        <v>21</v>
      </c>
      <c r="I479">
        <v>98</v>
      </c>
    </row>
    <row r="480" spans="1:9" x14ac:dyDescent="0.25">
      <c r="A480" t="s">
        <v>505</v>
      </c>
      <c r="B480" t="s">
        <v>31</v>
      </c>
      <c r="C480" t="s">
        <v>11</v>
      </c>
      <c r="D480" t="s">
        <v>12</v>
      </c>
      <c r="E480" t="s">
        <v>17</v>
      </c>
      <c r="F480">
        <v>15</v>
      </c>
      <c r="G480">
        <v>27089.66</v>
      </c>
      <c r="H480">
        <v>1</v>
      </c>
      <c r="I480">
        <v>71</v>
      </c>
    </row>
    <row r="481" spans="1:9" x14ac:dyDescent="0.25">
      <c r="A481" t="s">
        <v>506</v>
      </c>
      <c r="B481" t="s">
        <v>19</v>
      </c>
      <c r="C481" t="s">
        <v>20</v>
      </c>
      <c r="D481" t="s">
        <v>24</v>
      </c>
      <c r="E481" t="s">
        <v>17</v>
      </c>
      <c r="F481">
        <v>90</v>
      </c>
      <c r="G481">
        <v>103986.43</v>
      </c>
      <c r="H481">
        <v>20</v>
      </c>
      <c r="I481">
        <v>74</v>
      </c>
    </row>
    <row r="482" spans="1:9" x14ac:dyDescent="0.25">
      <c r="A482" t="s">
        <v>507</v>
      </c>
      <c r="B482" t="s">
        <v>36</v>
      </c>
      <c r="C482" t="s">
        <v>23</v>
      </c>
      <c r="D482" t="s">
        <v>21</v>
      </c>
      <c r="E482" t="s">
        <v>17</v>
      </c>
      <c r="F482">
        <v>84</v>
      </c>
      <c r="G482">
        <v>138622.93</v>
      </c>
      <c r="H482">
        <v>7</v>
      </c>
      <c r="I482">
        <v>76</v>
      </c>
    </row>
    <row r="483" spans="1:9" x14ac:dyDescent="0.25">
      <c r="A483" t="s">
        <v>508</v>
      </c>
      <c r="B483" t="s">
        <v>34</v>
      </c>
      <c r="C483" t="s">
        <v>23</v>
      </c>
      <c r="D483" t="s">
        <v>16</v>
      </c>
      <c r="E483" t="s">
        <v>17</v>
      </c>
      <c r="F483">
        <v>43</v>
      </c>
      <c r="G483">
        <v>78821.62</v>
      </c>
      <c r="H483">
        <v>2</v>
      </c>
      <c r="I483">
        <v>90</v>
      </c>
    </row>
    <row r="484" spans="1:9" x14ac:dyDescent="0.25">
      <c r="A484" t="s">
        <v>509</v>
      </c>
      <c r="B484" t="s">
        <v>19</v>
      </c>
      <c r="C484" t="s">
        <v>11</v>
      </c>
      <c r="D484" t="s">
        <v>26</v>
      </c>
      <c r="E484" t="s">
        <v>13</v>
      </c>
      <c r="F484">
        <v>2</v>
      </c>
      <c r="G484">
        <v>55543.03</v>
      </c>
      <c r="H484">
        <v>8</v>
      </c>
      <c r="I484">
        <v>94</v>
      </c>
    </row>
    <row r="485" spans="1:9" x14ac:dyDescent="0.25">
      <c r="A485" t="s">
        <v>510</v>
      </c>
      <c r="B485" t="s">
        <v>19</v>
      </c>
      <c r="C485" t="s">
        <v>40</v>
      </c>
      <c r="D485" t="s">
        <v>16</v>
      </c>
      <c r="E485" t="s">
        <v>29</v>
      </c>
      <c r="F485">
        <v>49</v>
      </c>
      <c r="G485">
        <v>165428.59</v>
      </c>
      <c r="H485">
        <v>6</v>
      </c>
      <c r="I485">
        <v>50</v>
      </c>
    </row>
    <row r="486" spans="1:9" x14ac:dyDescent="0.25">
      <c r="A486" t="s">
        <v>511</v>
      </c>
      <c r="B486" t="s">
        <v>15</v>
      </c>
      <c r="C486" t="s">
        <v>23</v>
      </c>
      <c r="D486" t="s">
        <v>26</v>
      </c>
      <c r="E486" t="s">
        <v>13</v>
      </c>
      <c r="F486">
        <v>51</v>
      </c>
      <c r="G486">
        <v>32030.89</v>
      </c>
      <c r="H486">
        <v>27</v>
      </c>
      <c r="I486">
        <v>49</v>
      </c>
    </row>
    <row r="487" spans="1:9" x14ac:dyDescent="0.25">
      <c r="A487" t="s">
        <v>512</v>
      </c>
      <c r="B487" t="s">
        <v>31</v>
      </c>
      <c r="C487" t="s">
        <v>11</v>
      </c>
      <c r="D487" t="s">
        <v>16</v>
      </c>
      <c r="E487" t="s">
        <v>13</v>
      </c>
      <c r="F487">
        <v>84</v>
      </c>
      <c r="G487">
        <v>26431.05</v>
      </c>
      <c r="H487">
        <v>18</v>
      </c>
      <c r="I487">
        <v>47</v>
      </c>
    </row>
    <row r="488" spans="1:9" x14ac:dyDescent="0.25">
      <c r="A488" t="s">
        <v>513</v>
      </c>
      <c r="B488" t="s">
        <v>36</v>
      </c>
      <c r="C488" t="s">
        <v>23</v>
      </c>
      <c r="D488" t="s">
        <v>21</v>
      </c>
      <c r="E488" t="s">
        <v>13</v>
      </c>
      <c r="F488">
        <v>74</v>
      </c>
      <c r="G488">
        <v>28114.91</v>
      </c>
      <c r="H488">
        <v>24</v>
      </c>
      <c r="I488">
        <v>53</v>
      </c>
    </row>
    <row r="489" spans="1:9" x14ac:dyDescent="0.25">
      <c r="A489" t="s">
        <v>514</v>
      </c>
      <c r="B489" t="s">
        <v>31</v>
      </c>
      <c r="C489" t="s">
        <v>40</v>
      </c>
      <c r="D489" t="s">
        <v>16</v>
      </c>
      <c r="E489" t="s">
        <v>17</v>
      </c>
      <c r="F489">
        <v>25</v>
      </c>
      <c r="G489">
        <v>40481.74</v>
      </c>
      <c r="H489">
        <v>5</v>
      </c>
      <c r="I489">
        <v>71</v>
      </c>
    </row>
    <row r="490" spans="1:9" x14ac:dyDescent="0.25">
      <c r="A490" t="s">
        <v>515</v>
      </c>
      <c r="B490" t="s">
        <v>19</v>
      </c>
      <c r="C490" t="s">
        <v>23</v>
      </c>
      <c r="D490" t="s">
        <v>26</v>
      </c>
      <c r="E490" t="s">
        <v>17</v>
      </c>
      <c r="F490">
        <v>63</v>
      </c>
      <c r="G490">
        <v>141849.78</v>
      </c>
      <c r="H490">
        <v>30</v>
      </c>
      <c r="I490">
        <v>88</v>
      </c>
    </row>
    <row r="491" spans="1:9" x14ac:dyDescent="0.25">
      <c r="A491" t="s">
        <v>516</v>
      </c>
      <c r="B491" t="s">
        <v>10</v>
      </c>
      <c r="C491" t="s">
        <v>40</v>
      </c>
      <c r="D491" t="s">
        <v>21</v>
      </c>
      <c r="E491" t="s">
        <v>29</v>
      </c>
      <c r="F491">
        <v>21</v>
      </c>
      <c r="G491">
        <v>12318.75</v>
      </c>
      <c r="H491">
        <v>2</v>
      </c>
      <c r="I491">
        <v>55</v>
      </c>
    </row>
    <row r="492" spans="1:9" x14ac:dyDescent="0.25">
      <c r="A492" t="s">
        <v>517</v>
      </c>
      <c r="B492" t="s">
        <v>15</v>
      </c>
      <c r="C492" t="s">
        <v>23</v>
      </c>
      <c r="D492" t="s">
        <v>24</v>
      </c>
      <c r="E492" t="s">
        <v>29</v>
      </c>
      <c r="F492">
        <v>35</v>
      </c>
      <c r="G492">
        <v>153792.67000000001</v>
      </c>
      <c r="H492">
        <v>26</v>
      </c>
      <c r="I492">
        <v>64</v>
      </c>
    </row>
    <row r="493" spans="1:9" x14ac:dyDescent="0.25">
      <c r="A493" t="s">
        <v>518</v>
      </c>
      <c r="B493" t="s">
        <v>31</v>
      </c>
      <c r="C493" t="s">
        <v>20</v>
      </c>
      <c r="D493" t="s">
        <v>12</v>
      </c>
      <c r="E493" t="s">
        <v>29</v>
      </c>
      <c r="F493">
        <v>59</v>
      </c>
      <c r="G493">
        <v>36518.54</v>
      </c>
      <c r="H493">
        <v>27</v>
      </c>
      <c r="I493">
        <v>89</v>
      </c>
    </row>
    <row r="494" spans="1:9" x14ac:dyDescent="0.25">
      <c r="A494" t="s">
        <v>519</v>
      </c>
      <c r="B494" t="s">
        <v>34</v>
      </c>
      <c r="C494" t="s">
        <v>11</v>
      </c>
      <c r="D494" t="s">
        <v>21</v>
      </c>
      <c r="E494" t="s">
        <v>29</v>
      </c>
      <c r="F494">
        <v>86</v>
      </c>
      <c r="G494">
        <v>109737.62</v>
      </c>
      <c r="H494">
        <v>3</v>
      </c>
      <c r="I494">
        <v>42</v>
      </c>
    </row>
    <row r="495" spans="1:9" x14ac:dyDescent="0.25">
      <c r="A495" t="s">
        <v>520</v>
      </c>
      <c r="B495" t="s">
        <v>31</v>
      </c>
      <c r="C495" t="s">
        <v>40</v>
      </c>
      <c r="D495" t="s">
        <v>24</v>
      </c>
      <c r="E495" t="s">
        <v>13</v>
      </c>
      <c r="F495">
        <v>81</v>
      </c>
      <c r="G495">
        <v>187347.35</v>
      </c>
      <c r="H495">
        <v>3</v>
      </c>
      <c r="I495">
        <v>70</v>
      </c>
    </row>
    <row r="496" spans="1:9" x14ac:dyDescent="0.25">
      <c r="A496" t="s">
        <v>521</v>
      </c>
      <c r="B496" t="s">
        <v>15</v>
      </c>
      <c r="C496" t="s">
        <v>40</v>
      </c>
      <c r="D496" t="s">
        <v>26</v>
      </c>
      <c r="E496" t="s">
        <v>13</v>
      </c>
      <c r="F496">
        <v>14</v>
      </c>
      <c r="G496">
        <v>65500.91</v>
      </c>
      <c r="H496">
        <v>9</v>
      </c>
      <c r="I496">
        <v>68</v>
      </c>
    </row>
    <row r="497" spans="1:9" x14ac:dyDescent="0.25">
      <c r="A497" t="s">
        <v>522</v>
      </c>
      <c r="B497" t="s">
        <v>34</v>
      </c>
      <c r="C497" t="s">
        <v>40</v>
      </c>
      <c r="D497" t="s">
        <v>12</v>
      </c>
      <c r="E497" t="s">
        <v>29</v>
      </c>
      <c r="F497">
        <v>84</v>
      </c>
      <c r="G497">
        <v>66224.67</v>
      </c>
      <c r="H497">
        <v>15</v>
      </c>
      <c r="I497">
        <v>92</v>
      </c>
    </row>
    <row r="498" spans="1:9" x14ac:dyDescent="0.25">
      <c r="A498" t="s">
        <v>523</v>
      </c>
      <c r="B498" t="s">
        <v>34</v>
      </c>
      <c r="C498" t="s">
        <v>40</v>
      </c>
      <c r="D498" t="s">
        <v>21</v>
      </c>
      <c r="E498" t="s">
        <v>13</v>
      </c>
      <c r="F498">
        <v>8</v>
      </c>
      <c r="G498">
        <v>49051.49</v>
      </c>
      <c r="H498">
        <v>22</v>
      </c>
      <c r="I498">
        <v>76</v>
      </c>
    </row>
    <row r="499" spans="1:9" x14ac:dyDescent="0.25">
      <c r="A499" t="s">
        <v>524</v>
      </c>
      <c r="B499" t="s">
        <v>36</v>
      </c>
      <c r="C499" t="s">
        <v>23</v>
      </c>
      <c r="D499" t="s">
        <v>12</v>
      </c>
      <c r="E499" t="s">
        <v>29</v>
      </c>
      <c r="F499">
        <v>49</v>
      </c>
      <c r="G499">
        <v>123748.7</v>
      </c>
      <c r="H499">
        <v>11</v>
      </c>
      <c r="I499">
        <v>85</v>
      </c>
    </row>
    <row r="500" spans="1:9" x14ac:dyDescent="0.25">
      <c r="A500" t="s">
        <v>525</v>
      </c>
      <c r="B500" t="s">
        <v>34</v>
      </c>
      <c r="C500" t="s">
        <v>11</v>
      </c>
      <c r="D500" t="s">
        <v>21</v>
      </c>
      <c r="E500" t="s">
        <v>17</v>
      </c>
      <c r="F500">
        <v>22</v>
      </c>
      <c r="G500">
        <v>167252.95000000001</v>
      </c>
      <c r="H500">
        <v>11</v>
      </c>
      <c r="I500">
        <v>52</v>
      </c>
    </row>
    <row r="501" spans="1:9" x14ac:dyDescent="0.25">
      <c r="A501" t="s">
        <v>526</v>
      </c>
      <c r="B501" t="s">
        <v>36</v>
      </c>
      <c r="C501" t="s">
        <v>20</v>
      </c>
      <c r="D501" t="s">
        <v>21</v>
      </c>
      <c r="E501" t="s">
        <v>13</v>
      </c>
      <c r="F501">
        <v>20</v>
      </c>
      <c r="G501">
        <v>32194.93</v>
      </c>
      <c r="H501">
        <v>20</v>
      </c>
      <c r="I501">
        <v>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F9F4-8B66-4691-8C6F-1EA44BCCDFB1}">
  <dimension ref="A1:L501"/>
  <sheetViews>
    <sheetView workbookViewId="0">
      <selection activeCell="L13" sqref="L13"/>
    </sheetView>
  </sheetViews>
  <sheetFormatPr defaultRowHeight="15" x14ac:dyDescent="0.25"/>
  <cols>
    <col min="1" max="1" width="11.85546875" style="14" customWidth="1"/>
    <col min="2" max="2" width="13.85546875" style="14" customWidth="1"/>
    <col min="3" max="3" width="17.140625" style="14" customWidth="1"/>
    <col min="4" max="4" width="14.7109375" style="14" customWidth="1"/>
    <col min="5" max="5" width="9.85546875" style="14" customWidth="1"/>
    <col min="6" max="6" width="9.140625" style="14"/>
    <col min="7" max="7" width="16.7109375" style="14" customWidth="1"/>
    <col min="8" max="8" width="20.5703125" style="14" customWidth="1"/>
    <col min="9" max="9" width="16.5703125" style="14" customWidth="1"/>
    <col min="10" max="10" width="17.85546875" style="16" bestFit="1" customWidth="1"/>
    <col min="11" max="11" width="17.140625" style="16" customWidth="1"/>
    <col min="12" max="16384" width="9.140625" style="14"/>
  </cols>
  <sheetData>
    <row r="1" spans="1:12" x14ac:dyDescent="0.25">
      <c r="A1" s="13" t="s">
        <v>0</v>
      </c>
      <c r="B1" s="13" t="s">
        <v>1</v>
      </c>
      <c r="C1" s="13" t="s">
        <v>2</v>
      </c>
      <c r="D1" s="13" t="s">
        <v>3</v>
      </c>
      <c r="E1" s="13" t="s">
        <v>4</v>
      </c>
      <c r="F1" s="13" t="s">
        <v>5</v>
      </c>
      <c r="G1" s="13" t="s">
        <v>6</v>
      </c>
      <c r="H1" s="13" t="s">
        <v>7</v>
      </c>
      <c r="I1" s="13" t="s">
        <v>8</v>
      </c>
      <c r="J1" s="17" t="s">
        <v>538</v>
      </c>
      <c r="K1" s="17" t="s">
        <v>541</v>
      </c>
      <c r="L1" s="13" t="s">
        <v>546</v>
      </c>
    </row>
    <row r="2" spans="1:12" x14ac:dyDescent="0.25">
      <c r="A2" s="11" t="s">
        <v>9</v>
      </c>
      <c r="B2" s="11" t="s">
        <v>10</v>
      </c>
      <c r="C2" s="11" t="s">
        <v>11</v>
      </c>
      <c r="D2" s="11" t="s">
        <v>12</v>
      </c>
      <c r="E2" s="11" t="s">
        <v>13</v>
      </c>
      <c r="F2" s="11">
        <v>16</v>
      </c>
      <c r="G2" s="11">
        <v>37596.44</v>
      </c>
      <c r="H2" s="11">
        <v>24</v>
      </c>
      <c r="I2" s="12">
        <v>90</v>
      </c>
      <c r="J2" s="15" t="str">
        <f>IF(Table1[[#This Row],[Treatment Cost]]&gt;75000,"HIGH COST","LOW COST")</f>
        <v>LOW COST</v>
      </c>
      <c r="K2" s="15" t="str">
        <f>IF(Table1[[#This Row],[Age]]&gt;=60,"Senior Citizen",IF(AND(Table1[[#This Row],[Age]]&gt;=18,Table1[[#This Row],[Age]]&lt;60),"Adult",IF(Table1[[#This Row],[Age]]&lt;18,"Child")))</f>
        <v>Child</v>
      </c>
      <c r="L2" s="19"/>
    </row>
    <row r="3" spans="1:12" x14ac:dyDescent="0.25">
      <c r="A3" s="11" t="s">
        <v>14</v>
      </c>
      <c r="B3" s="11" t="s">
        <v>15</v>
      </c>
      <c r="C3" s="11" t="s">
        <v>11</v>
      </c>
      <c r="D3" s="11" t="s">
        <v>16</v>
      </c>
      <c r="E3" s="11" t="s">
        <v>17</v>
      </c>
      <c r="F3" s="11">
        <v>38</v>
      </c>
      <c r="G3" s="11">
        <v>43526.9</v>
      </c>
      <c r="H3" s="11">
        <v>5</v>
      </c>
      <c r="I3" s="12">
        <v>45</v>
      </c>
      <c r="J3" s="15" t="str">
        <f>IF(Table1[[#This Row],[Treatment Cost]]&gt;75000,"HIGH COST","LOW COST")</f>
        <v>LOW COST</v>
      </c>
      <c r="K3" s="15" t="str">
        <f>IF(Table1[[#This Row],[Age]]&gt;=60,"Senior Citizen",IF(AND(Table1[[#This Row],[Age]]&gt;=18,Table1[[#This Row],[Age]]&lt;60),"Adult",IF(Table1[[#This Row],[Age]]&lt;18,"Child")))</f>
        <v>Adult</v>
      </c>
      <c r="L3" s="19"/>
    </row>
    <row r="4" spans="1:12" x14ac:dyDescent="0.25">
      <c r="A4" s="11" t="s">
        <v>18</v>
      </c>
      <c r="B4" s="11" t="s">
        <v>19</v>
      </c>
      <c r="C4" s="11" t="s">
        <v>20</v>
      </c>
      <c r="D4" s="11" t="s">
        <v>21</v>
      </c>
      <c r="E4" s="11" t="s">
        <v>17</v>
      </c>
      <c r="F4" s="11">
        <v>34</v>
      </c>
      <c r="G4" s="11">
        <v>102515.96</v>
      </c>
      <c r="H4" s="11">
        <v>3</v>
      </c>
      <c r="I4" s="12">
        <v>90</v>
      </c>
      <c r="J4" s="15" t="str">
        <f>IF(Table1[[#This Row],[Treatment Cost]]&gt;75000,"HIGH COST","LOW COST")</f>
        <v>HIGH COST</v>
      </c>
      <c r="K4" s="15" t="str">
        <f>IF(Table1[[#This Row],[Age]]&gt;=60,"Senior Citizen",IF(AND(Table1[[#This Row],[Age]]&gt;=18,Table1[[#This Row],[Age]]&lt;60),"Adult",IF(Table1[[#This Row],[Age]]&lt;18,"Child")))</f>
        <v>Adult</v>
      </c>
      <c r="L4" s="19"/>
    </row>
    <row r="5" spans="1:12" x14ac:dyDescent="0.25">
      <c r="A5" s="11" t="s">
        <v>22</v>
      </c>
      <c r="B5" s="11" t="s">
        <v>10</v>
      </c>
      <c r="C5" s="11" t="s">
        <v>23</v>
      </c>
      <c r="D5" s="11" t="s">
        <v>24</v>
      </c>
      <c r="E5" s="11" t="s">
        <v>13</v>
      </c>
      <c r="F5" s="11">
        <v>43</v>
      </c>
      <c r="G5" s="11">
        <v>117944.99</v>
      </c>
      <c r="H5" s="11">
        <v>29</v>
      </c>
      <c r="I5" s="12">
        <v>73</v>
      </c>
      <c r="J5" s="15" t="str">
        <f>IF(Table1[[#This Row],[Treatment Cost]]&gt;75000,"HIGH COST","LOW COST")</f>
        <v>HIGH COST</v>
      </c>
      <c r="K5" s="15" t="str">
        <f>IF(Table1[[#This Row],[Age]]&gt;=60,"Senior Citizen",IF(AND(Table1[[#This Row],[Age]]&gt;=18,Table1[[#This Row],[Age]]&lt;60),"Adult",IF(Table1[[#This Row],[Age]]&lt;18,"Child")))</f>
        <v>Adult</v>
      </c>
      <c r="L5" s="19"/>
    </row>
    <row r="6" spans="1:12" x14ac:dyDescent="0.25">
      <c r="A6" s="11" t="s">
        <v>25</v>
      </c>
      <c r="B6" s="11" t="s">
        <v>15</v>
      </c>
      <c r="C6" s="11" t="s">
        <v>11</v>
      </c>
      <c r="D6" s="11" t="s">
        <v>26</v>
      </c>
      <c r="E6" s="11" t="s">
        <v>13</v>
      </c>
      <c r="F6" s="11">
        <v>50</v>
      </c>
      <c r="G6" s="11">
        <v>64449.82</v>
      </c>
      <c r="H6" s="11">
        <v>19</v>
      </c>
      <c r="I6" s="12">
        <v>88</v>
      </c>
      <c r="J6" s="15" t="str">
        <f>IF(Table1[[#This Row],[Treatment Cost]]&gt;75000,"HIGH COST","LOW COST")</f>
        <v>LOW COST</v>
      </c>
      <c r="K6" s="15" t="str">
        <f>IF(Table1[[#This Row],[Age]]&gt;=60,"Senior Citizen",IF(AND(Table1[[#This Row],[Age]]&gt;=18,Table1[[#This Row],[Age]]&lt;60),"Adult",IF(Table1[[#This Row],[Age]]&lt;18,"Child")))</f>
        <v>Adult</v>
      </c>
      <c r="L6" s="19"/>
    </row>
    <row r="7" spans="1:12" x14ac:dyDescent="0.25">
      <c r="A7" s="11" t="s">
        <v>27</v>
      </c>
      <c r="B7" s="11" t="s">
        <v>19</v>
      </c>
      <c r="C7" s="11" t="s">
        <v>20</v>
      </c>
      <c r="D7" s="11" t="s">
        <v>16</v>
      </c>
      <c r="E7" s="11" t="s">
        <v>13</v>
      </c>
      <c r="F7" s="11">
        <v>5</v>
      </c>
      <c r="G7" s="11">
        <v>191398.91</v>
      </c>
      <c r="H7" s="11">
        <v>11</v>
      </c>
      <c r="I7" s="12">
        <v>62</v>
      </c>
      <c r="J7" s="15" t="str">
        <f>IF(Table1[[#This Row],[Treatment Cost]]&gt;75000,"HIGH COST","LOW COST")</f>
        <v>HIGH COST</v>
      </c>
      <c r="K7" s="15" t="str">
        <f>IF(Table1[[#This Row],[Age]]&gt;=60,"Senior Citizen",IF(AND(Table1[[#This Row],[Age]]&gt;=18,Table1[[#This Row],[Age]]&lt;60),"Adult",IF(Table1[[#This Row],[Age]]&lt;18,"Child")))</f>
        <v>Child</v>
      </c>
      <c r="L7" s="19"/>
    </row>
    <row r="8" spans="1:12" x14ac:dyDescent="0.25">
      <c r="A8" s="11" t="s">
        <v>28</v>
      </c>
      <c r="B8" s="11" t="s">
        <v>15</v>
      </c>
      <c r="C8" s="11" t="s">
        <v>23</v>
      </c>
      <c r="D8" s="11" t="s">
        <v>21</v>
      </c>
      <c r="E8" s="11" t="s">
        <v>29</v>
      </c>
      <c r="F8" s="11">
        <v>82</v>
      </c>
      <c r="G8" s="11">
        <v>90815.49</v>
      </c>
      <c r="H8" s="11">
        <v>30</v>
      </c>
      <c r="I8" s="12">
        <v>97</v>
      </c>
      <c r="J8" s="15" t="str">
        <f>IF(Table1[[#This Row],[Treatment Cost]]&gt;75000,"HIGH COST","LOW COST")</f>
        <v>HIGH COST</v>
      </c>
      <c r="K8" s="15" t="str">
        <f>IF(Table1[[#This Row],[Age]]&gt;=60,"Senior Citizen",IF(AND(Table1[[#This Row],[Age]]&gt;=18,Table1[[#This Row],[Age]]&lt;60),"Adult",IF(Table1[[#This Row],[Age]]&lt;18,"Child")))</f>
        <v>Senior Citizen</v>
      </c>
      <c r="L8" s="19"/>
    </row>
    <row r="9" spans="1:12" x14ac:dyDescent="0.25">
      <c r="A9" s="11" t="s">
        <v>30</v>
      </c>
      <c r="B9" s="11" t="s">
        <v>31</v>
      </c>
      <c r="C9" s="11" t="s">
        <v>23</v>
      </c>
      <c r="D9" s="11" t="s">
        <v>16</v>
      </c>
      <c r="E9" s="11" t="s">
        <v>13</v>
      </c>
      <c r="F9" s="11">
        <v>37</v>
      </c>
      <c r="G9" s="11">
        <v>179279.69</v>
      </c>
      <c r="H9" s="11">
        <v>21</v>
      </c>
      <c r="I9" s="12">
        <v>55</v>
      </c>
      <c r="J9" s="15" t="str">
        <f>IF(Table1[[#This Row],[Treatment Cost]]&gt;75000,"HIGH COST","LOW COST")</f>
        <v>HIGH COST</v>
      </c>
      <c r="K9" s="15" t="str">
        <f>IF(Table1[[#This Row],[Age]]&gt;=60,"Senior Citizen",IF(AND(Table1[[#This Row],[Age]]&gt;=18,Table1[[#This Row],[Age]]&lt;60),"Adult",IF(Table1[[#This Row],[Age]]&lt;18,"Child")))</f>
        <v>Adult</v>
      </c>
      <c r="L9" s="19"/>
    </row>
    <row r="10" spans="1:12" x14ac:dyDescent="0.25">
      <c r="A10" s="11" t="s">
        <v>32</v>
      </c>
      <c r="B10" s="11" t="s">
        <v>19</v>
      </c>
      <c r="C10" s="11" t="s">
        <v>11</v>
      </c>
      <c r="D10" s="11" t="s">
        <v>16</v>
      </c>
      <c r="E10" s="11" t="s">
        <v>13</v>
      </c>
      <c r="F10" s="11">
        <v>71</v>
      </c>
      <c r="G10" s="11">
        <v>135829.76999999999</v>
      </c>
      <c r="H10" s="11">
        <v>5</v>
      </c>
      <c r="I10" s="12">
        <v>66</v>
      </c>
      <c r="J10" s="15" t="str">
        <f>IF(Table1[[#This Row],[Treatment Cost]]&gt;75000,"HIGH COST","LOW COST")</f>
        <v>HIGH COST</v>
      </c>
      <c r="K10" s="15" t="str">
        <f>IF(Table1[[#This Row],[Age]]&gt;=60,"Senior Citizen",IF(AND(Table1[[#This Row],[Age]]&gt;=18,Table1[[#This Row],[Age]]&lt;60),"Adult",IF(Table1[[#This Row],[Age]]&lt;18,"Child")))</f>
        <v>Senior Citizen</v>
      </c>
      <c r="L10" s="19"/>
    </row>
    <row r="11" spans="1:12" x14ac:dyDescent="0.25">
      <c r="A11" s="11" t="s">
        <v>33</v>
      </c>
      <c r="B11" s="11" t="s">
        <v>34</v>
      </c>
      <c r="C11" s="11" t="s">
        <v>23</v>
      </c>
      <c r="D11" s="11" t="s">
        <v>26</v>
      </c>
      <c r="E11" s="11" t="s">
        <v>17</v>
      </c>
      <c r="F11" s="11">
        <v>26</v>
      </c>
      <c r="G11" s="11">
        <v>129006.98</v>
      </c>
      <c r="H11" s="11">
        <v>26</v>
      </c>
      <c r="I11" s="12">
        <v>67</v>
      </c>
      <c r="J11" s="15" t="str">
        <f>IF(Table1[[#This Row],[Treatment Cost]]&gt;75000,"HIGH COST","LOW COST")</f>
        <v>HIGH COST</v>
      </c>
      <c r="K11" s="15" t="str">
        <f>IF(Table1[[#This Row],[Age]]&gt;=60,"Senior Citizen",IF(AND(Table1[[#This Row],[Age]]&gt;=18,Table1[[#This Row],[Age]]&lt;60),"Adult",IF(Table1[[#This Row],[Age]]&lt;18,"Child")))</f>
        <v>Adult</v>
      </c>
      <c r="L11" s="19"/>
    </row>
    <row r="12" spans="1:12" x14ac:dyDescent="0.25">
      <c r="A12" s="11" t="s">
        <v>35</v>
      </c>
      <c r="B12" s="11" t="s">
        <v>36</v>
      </c>
      <c r="C12" s="11" t="s">
        <v>23</v>
      </c>
      <c r="D12" s="11" t="s">
        <v>26</v>
      </c>
      <c r="E12" s="11" t="s">
        <v>29</v>
      </c>
      <c r="F12" s="11">
        <v>55</v>
      </c>
      <c r="G12" s="11">
        <v>63125.67</v>
      </c>
      <c r="H12" s="11">
        <v>26</v>
      </c>
      <c r="I12" s="12">
        <v>49</v>
      </c>
      <c r="J12" s="15" t="str">
        <f>IF(Table1[[#This Row],[Treatment Cost]]&gt;75000,"HIGH COST","LOW COST")</f>
        <v>LOW COST</v>
      </c>
      <c r="K12" s="15" t="str">
        <f>IF(Table1[[#This Row],[Age]]&gt;=60,"Senior Citizen",IF(AND(Table1[[#This Row],[Age]]&gt;=18,Table1[[#This Row],[Age]]&lt;60),"Adult",IF(Table1[[#This Row],[Age]]&lt;18,"Child")))</f>
        <v>Adult</v>
      </c>
      <c r="L12" s="19"/>
    </row>
    <row r="13" spans="1:12" x14ac:dyDescent="0.25">
      <c r="A13" s="11" t="s">
        <v>37</v>
      </c>
      <c r="B13" s="11" t="s">
        <v>36</v>
      </c>
      <c r="C13" s="11" t="s">
        <v>23</v>
      </c>
      <c r="D13" s="11" t="s">
        <v>16</v>
      </c>
      <c r="E13" s="11" t="s">
        <v>13</v>
      </c>
      <c r="F13" s="11">
        <v>36</v>
      </c>
      <c r="G13" s="11">
        <v>145732.32999999999</v>
      </c>
      <c r="H13" s="11">
        <v>11</v>
      </c>
      <c r="I13" s="12">
        <v>46</v>
      </c>
      <c r="J13" s="15" t="str">
        <f>IF(Table1[[#This Row],[Treatment Cost]]&gt;75000,"HIGH COST","LOW COST")</f>
        <v>HIGH COST</v>
      </c>
      <c r="K13" s="15" t="str">
        <f>IF(Table1[[#This Row],[Age]]&gt;=60,"Senior Citizen",IF(AND(Table1[[#This Row],[Age]]&gt;=18,Table1[[#This Row],[Age]]&lt;60),"Adult",IF(Table1[[#This Row],[Age]]&lt;18,"Child")))</f>
        <v>Adult</v>
      </c>
      <c r="L13" s="19" t="s">
        <v>545</v>
      </c>
    </row>
    <row r="14" spans="1:12" x14ac:dyDescent="0.25">
      <c r="A14" s="11" t="s">
        <v>38</v>
      </c>
      <c r="B14" s="11" t="s">
        <v>31</v>
      </c>
      <c r="C14" s="11" t="s">
        <v>20</v>
      </c>
      <c r="D14" s="11" t="s">
        <v>24</v>
      </c>
      <c r="E14" s="11" t="s">
        <v>29</v>
      </c>
      <c r="F14" s="11">
        <v>42</v>
      </c>
      <c r="G14" s="11">
        <v>68270.3</v>
      </c>
      <c r="H14" s="11">
        <v>14</v>
      </c>
      <c r="I14" s="12">
        <v>93</v>
      </c>
      <c r="J14" s="15" t="str">
        <f>IF(Table1[[#This Row],[Treatment Cost]]&gt;75000,"HIGH COST","LOW COST")</f>
        <v>LOW COST</v>
      </c>
      <c r="K14" s="15" t="str">
        <f>IF(Table1[[#This Row],[Age]]&gt;=60,"Senior Citizen",IF(AND(Table1[[#This Row],[Age]]&gt;=18,Table1[[#This Row],[Age]]&lt;60),"Adult",IF(Table1[[#This Row],[Age]]&lt;18,"Child")))</f>
        <v>Adult</v>
      </c>
      <c r="L14" s="19"/>
    </row>
    <row r="15" spans="1:12" x14ac:dyDescent="0.25">
      <c r="A15" s="11" t="s">
        <v>39</v>
      </c>
      <c r="B15" s="11" t="s">
        <v>19</v>
      </c>
      <c r="C15" s="11" t="s">
        <v>40</v>
      </c>
      <c r="D15" s="11" t="s">
        <v>21</v>
      </c>
      <c r="E15" s="11" t="s">
        <v>17</v>
      </c>
      <c r="F15" s="11">
        <v>35</v>
      </c>
      <c r="G15" s="11">
        <v>83924.18</v>
      </c>
      <c r="H15" s="11">
        <v>28</v>
      </c>
      <c r="I15" s="12">
        <v>85</v>
      </c>
      <c r="J15" s="15" t="str">
        <f>IF(Table1[[#This Row],[Treatment Cost]]&gt;75000,"HIGH COST","LOW COST")</f>
        <v>HIGH COST</v>
      </c>
      <c r="K15" s="15" t="str">
        <f>IF(Table1[[#This Row],[Age]]&gt;=60,"Senior Citizen",IF(AND(Table1[[#This Row],[Age]]&gt;=18,Table1[[#This Row],[Age]]&lt;60),"Adult",IF(Table1[[#This Row],[Age]]&lt;18,"Child")))</f>
        <v>Adult</v>
      </c>
      <c r="L15" s="19"/>
    </row>
    <row r="16" spans="1:12" x14ac:dyDescent="0.25">
      <c r="A16" s="11" t="s">
        <v>41</v>
      </c>
      <c r="B16" s="11" t="s">
        <v>10</v>
      </c>
      <c r="C16" s="11" t="s">
        <v>40</v>
      </c>
      <c r="D16" s="11" t="s">
        <v>16</v>
      </c>
      <c r="E16" s="11" t="s">
        <v>29</v>
      </c>
      <c r="F16" s="11">
        <v>53</v>
      </c>
      <c r="G16" s="11">
        <v>84925.89</v>
      </c>
      <c r="H16" s="11">
        <v>5</v>
      </c>
      <c r="I16" s="12">
        <v>58</v>
      </c>
      <c r="J16" s="15" t="str">
        <f>IF(Table1[[#This Row],[Treatment Cost]]&gt;75000,"HIGH COST","LOW COST")</f>
        <v>HIGH COST</v>
      </c>
      <c r="K16" s="15" t="str">
        <f>IF(Table1[[#This Row],[Age]]&gt;=60,"Senior Citizen",IF(AND(Table1[[#This Row],[Age]]&gt;=18,Table1[[#This Row],[Age]]&lt;60),"Adult",IF(Table1[[#This Row],[Age]]&lt;18,"Child")))</f>
        <v>Adult</v>
      </c>
      <c r="L16" s="19"/>
    </row>
    <row r="17" spans="1:12" x14ac:dyDescent="0.25">
      <c r="A17" s="11" t="s">
        <v>42</v>
      </c>
      <c r="B17" s="11" t="s">
        <v>15</v>
      </c>
      <c r="C17" s="11" t="s">
        <v>20</v>
      </c>
      <c r="D17" s="11" t="s">
        <v>26</v>
      </c>
      <c r="E17" s="11" t="s">
        <v>29</v>
      </c>
      <c r="F17" s="11">
        <v>44</v>
      </c>
      <c r="G17" s="11">
        <v>96718.31</v>
      </c>
      <c r="H17" s="11">
        <v>20</v>
      </c>
      <c r="I17" s="12">
        <v>72</v>
      </c>
      <c r="J17" s="15" t="str">
        <f>IF(Table1[[#This Row],[Treatment Cost]]&gt;75000,"HIGH COST","LOW COST")</f>
        <v>HIGH COST</v>
      </c>
      <c r="K17" s="15" t="str">
        <f>IF(Table1[[#This Row],[Age]]&gt;=60,"Senior Citizen",IF(AND(Table1[[#This Row],[Age]]&gt;=18,Table1[[#This Row],[Age]]&lt;60),"Adult",IF(Table1[[#This Row],[Age]]&lt;18,"Child")))</f>
        <v>Adult</v>
      </c>
      <c r="L17" s="19"/>
    </row>
    <row r="18" spans="1:12" x14ac:dyDescent="0.25">
      <c r="A18" s="11" t="s">
        <v>43</v>
      </c>
      <c r="B18" s="11" t="s">
        <v>31</v>
      </c>
      <c r="C18" s="11" t="s">
        <v>23</v>
      </c>
      <c r="D18" s="11" t="s">
        <v>16</v>
      </c>
      <c r="E18" s="11" t="s">
        <v>13</v>
      </c>
      <c r="F18" s="11">
        <v>4</v>
      </c>
      <c r="G18" s="11">
        <v>73619.009999999995</v>
      </c>
      <c r="H18" s="11">
        <v>21</v>
      </c>
      <c r="I18" s="12">
        <v>91</v>
      </c>
      <c r="J18" s="15" t="str">
        <f>IF(Table1[[#This Row],[Treatment Cost]]&gt;75000,"HIGH COST","LOW COST")</f>
        <v>LOW COST</v>
      </c>
      <c r="K18" s="15" t="str">
        <f>IF(Table1[[#This Row],[Age]]&gt;=60,"Senior Citizen",IF(AND(Table1[[#This Row],[Age]]&gt;=18,Table1[[#This Row],[Age]]&lt;60),"Adult",IF(Table1[[#This Row],[Age]]&lt;18,"Child")))</f>
        <v>Child</v>
      </c>
      <c r="L18" s="19"/>
    </row>
    <row r="19" spans="1:12" x14ac:dyDescent="0.25">
      <c r="A19" s="11" t="s">
        <v>44</v>
      </c>
      <c r="B19" s="11" t="s">
        <v>31</v>
      </c>
      <c r="C19" s="11" t="s">
        <v>40</v>
      </c>
      <c r="D19" s="11" t="s">
        <v>24</v>
      </c>
      <c r="E19" s="11" t="s">
        <v>17</v>
      </c>
      <c r="F19" s="11">
        <v>83</v>
      </c>
      <c r="G19" s="11">
        <v>11269.13</v>
      </c>
      <c r="H19" s="11">
        <v>9</v>
      </c>
      <c r="I19" s="12">
        <v>99</v>
      </c>
      <c r="J19" s="15" t="str">
        <f>IF(Table1[[#This Row],[Treatment Cost]]&gt;75000,"HIGH COST","LOW COST")</f>
        <v>LOW COST</v>
      </c>
      <c r="K19" s="15" t="str">
        <f>IF(Table1[[#This Row],[Age]]&gt;=60,"Senior Citizen",IF(AND(Table1[[#This Row],[Age]]&gt;=18,Table1[[#This Row],[Age]]&lt;60),"Adult",IF(Table1[[#This Row],[Age]]&lt;18,"Child")))</f>
        <v>Senior Citizen</v>
      </c>
      <c r="L19" s="19"/>
    </row>
    <row r="20" spans="1:12" x14ac:dyDescent="0.25">
      <c r="A20" s="11" t="s">
        <v>45</v>
      </c>
      <c r="B20" s="11" t="s">
        <v>34</v>
      </c>
      <c r="C20" s="11" t="s">
        <v>40</v>
      </c>
      <c r="D20" s="11" t="s">
        <v>12</v>
      </c>
      <c r="E20" s="11" t="s">
        <v>13</v>
      </c>
      <c r="F20" s="11">
        <v>67</v>
      </c>
      <c r="G20" s="11">
        <v>65910.47</v>
      </c>
      <c r="H20" s="11">
        <v>5</v>
      </c>
      <c r="I20" s="12">
        <v>69</v>
      </c>
      <c r="J20" s="15" t="str">
        <f>IF(Table1[[#This Row],[Treatment Cost]]&gt;75000,"HIGH COST","LOW COST")</f>
        <v>LOW COST</v>
      </c>
      <c r="K20" s="15" t="str">
        <f>IF(Table1[[#This Row],[Age]]&gt;=60,"Senior Citizen",IF(AND(Table1[[#This Row],[Age]]&gt;=18,Table1[[#This Row],[Age]]&lt;60),"Adult",IF(Table1[[#This Row],[Age]]&lt;18,"Child")))</f>
        <v>Senior Citizen</v>
      </c>
      <c r="L20" s="19"/>
    </row>
    <row r="21" spans="1:12" x14ac:dyDescent="0.25">
      <c r="A21" s="11" t="s">
        <v>46</v>
      </c>
      <c r="B21" s="11" t="s">
        <v>19</v>
      </c>
      <c r="C21" s="11" t="s">
        <v>20</v>
      </c>
      <c r="D21" s="11" t="s">
        <v>16</v>
      </c>
      <c r="E21" s="11" t="s">
        <v>29</v>
      </c>
      <c r="F21" s="11">
        <v>36</v>
      </c>
      <c r="G21" s="11">
        <v>114129.23</v>
      </c>
      <c r="H21" s="11">
        <v>3</v>
      </c>
      <c r="I21" s="12">
        <v>68</v>
      </c>
      <c r="J21" s="15" t="str">
        <f>IF(Table1[[#This Row],[Treatment Cost]]&gt;75000,"HIGH COST","LOW COST")</f>
        <v>HIGH COST</v>
      </c>
      <c r="K21" s="15" t="str">
        <f>IF(Table1[[#This Row],[Age]]&gt;=60,"Senior Citizen",IF(AND(Table1[[#This Row],[Age]]&gt;=18,Table1[[#This Row],[Age]]&lt;60),"Adult",IF(Table1[[#This Row],[Age]]&lt;18,"Child")))</f>
        <v>Adult</v>
      </c>
      <c r="L21" s="19"/>
    </row>
    <row r="22" spans="1:12" x14ac:dyDescent="0.25">
      <c r="A22" s="11" t="s">
        <v>47</v>
      </c>
      <c r="B22" s="11" t="s">
        <v>15</v>
      </c>
      <c r="C22" s="11" t="s">
        <v>23</v>
      </c>
      <c r="D22" s="11" t="s">
        <v>21</v>
      </c>
      <c r="E22" s="11" t="s">
        <v>17</v>
      </c>
      <c r="F22" s="11">
        <v>68</v>
      </c>
      <c r="G22" s="11">
        <v>70940.570000000007</v>
      </c>
      <c r="H22" s="11">
        <v>10</v>
      </c>
      <c r="I22" s="12">
        <v>98</v>
      </c>
      <c r="J22" s="15" t="str">
        <f>IF(Table1[[#This Row],[Treatment Cost]]&gt;75000,"HIGH COST","LOW COST")</f>
        <v>LOW COST</v>
      </c>
      <c r="K22" s="15" t="str">
        <f>IF(Table1[[#This Row],[Age]]&gt;=60,"Senior Citizen",IF(AND(Table1[[#This Row],[Age]]&gt;=18,Table1[[#This Row],[Age]]&lt;60),"Adult",IF(Table1[[#This Row],[Age]]&lt;18,"Child")))</f>
        <v>Senior Citizen</v>
      </c>
      <c r="L22" s="19"/>
    </row>
    <row r="23" spans="1:12" x14ac:dyDescent="0.25">
      <c r="A23" s="11" t="s">
        <v>48</v>
      </c>
      <c r="B23" s="11" t="s">
        <v>36</v>
      </c>
      <c r="C23" s="11" t="s">
        <v>11</v>
      </c>
      <c r="D23" s="11" t="s">
        <v>12</v>
      </c>
      <c r="E23" s="11" t="s">
        <v>13</v>
      </c>
      <c r="F23" s="11">
        <v>15</v>
      </c>
      <c r="G23" s="11">
        <v>158965.96</v>
      </c>
      <c r="H23" s="11">
        <v>24</v>
      </c>
      <c r="I23" s="12">
        <v>61</v>
      </c>
      <c r="J23" s="15" t="str">
        <f>IF(Table1[[#This Row],[Treatment Cost]]&gt;75000,"HIGH COST","LOW COST")</f>
        <v>HIGH COST</v>
      </c>
      <c r="K23" s="15" t="str">
        <f>IF(Table1[[#This Row],[Age]]&gt;=60,"Senior Citizen",IF(AND(Table1[[#This Row],[Age]]&gt;=18,Table1[[#This Row],[Age]]&lt;60),"Adult",IF(Table1[[#This Row],[Age]]&lt;18,"Child")))</f>
        <v>Child</v>
      </c>
      <c r="L23" s="19"/>
    </row>
    <row r="24" spans="1:12" x14ac:dyDescent="0.25">
      <c r="A24" s="11" t="s">
        <v>49</v>
      </c>
      <c r="B24" s="11" t="s">
        <v>10</v>
      </c>
      <c r="C24" s="11" t="s">
        <v>20</v>
      </c>
      <c r="D24" s="11" t="s">
        <v>24</v>
      </c>
      <c r="E24" s="11" t="s">
        <v>29</v>
      </c>
      <c r="F24" s="11">
        <v>88</v>
      </c>
      <c r="G24" s="11">
        <v>162134.74</v>
      </c>
      <c r="H24" s="11">
        <v>27</v>
      </c>
      <c r="I24" s="12">
        <v>75</v>
      </c>
      <c r="J24" s="15" t="str">
        <f>IF(Table1[[#This Row],[Treatment Cost]]&gt;75000,"HIGH COST","LOW COST")</f>
        <v>HIGH COST</v>
      </c>
      <c r="K24" s="15" t="str">
        <f>IF(Table1[[#This Row],[Age]]&gt;=60,"Senior Citizen",IF(AND(Table1[[#This Row],[Age]]&gt;=18,Table1[[#This Row],[Age]]&lt;60),"Adult",IF(Table1[[#This Row],[Age]]&lt;18,"Child")))</f>
        <v>Senior Citizen</v>
      </c>
      <c r="L24" s="19"/>
    </row>
    <row r="25" spans="1:12" x14ac:dyDescent="0.25">
      <c r="A25" s="11" t="s">
        <v>50</v>
      </c>
      <c r="B25" s="11" t="s">
        <v>10</v>
      </c>
      <c r="C25" s="11" t="s">
        <v>11</v>
      </c>
      <c r="D25" s="11" t="s">
        <v>24</v>
      </c>
      <c r="E25" s="11" t="s">
        <v>13</v>
      </c>
      <c r="F25" s="11">
        <v>68</v>
      </c>
      <c r="G25" s="11">
        <v>25291.16</v>
      </c>
      <c r="H25" s="11">
        <v>29</v>
      </c>
      <c r="I25" s="12">
        <v>57</v>
      </c>
      <c r="J25" s="15" t="str">
        <f>IF(Table1[[#This Row],[Treatment Cost]]&gt;75000,"HIGH COST","LOW COST")</f>
        <v>LOW COST</v>
      </c>
      <c r="K25" s="15" t="str">
        <f>IF(Table1[[#This Row],[Age]]&gt;=60,"Senior Citizen",IF(AND(Table1[[#This Row],[Age]]&gt;=18,Table1[[#This Row],[Age]]&lt;60),"Adult",IF(Table1[[#This Row],[Age]]&lt;18,"Child")))</f>
        <v>Senior Citizen</v>
      </c>
      <c r="L25" s="19"/>
    </row>
    <row r="26" spans="1:12" x14ac:dyDescent="0.25">
      <c r="A26" s="11" t="s">
        <v>51</v>
      </c>
      <c r="B26" s="11" t="s">
        <v>15</v>
      </c>
      <c r="C26" s="11" t="s">
        <v>23</v>
      </c>
      <c r="D26" s="11" t="s">
        <v>21</v>
      </c>
      <c r="E26" s="11" t="s">
        <v>29</v>
      </c>
      <c r="F26" s="11">
        <v>76</v>
      </c>
      <c r="G26" s="11">
        <v>58495.66</v>
      </c>
      <c r="H26" s="11">
        <v>1</v>
      </c>
      <c r="I26" s="12">
        <v>97</v>
      </c>
      <c r="J26" s="15" t="str">
        <f>IF(Table1[[#This Row],[Treatment Cost]]&gt;75000,"HIGH COST","LOW COST")</f>
        <v>LOW COST</v>
      </c>
      <c r="K26" s="15" t="str">
        <f>IF(Table1[[#This Row],[Age]]&gt;=60,"Senior Citizen",IF(AND(Table1[[#This Row],[Age]]&gt;=18,Table1[[#This Row],[Age]]&lt;60),"Adult",IF(Table1[[#This Row],[Age]]&lt;18,"Child")))</f>
        <v>Senior Citizen</v>
      </c>
      <c r="L26" s="19"/>
    </row>
    <row r="27" spans="1:12" x14ac:dyDescent="0.25">
      <c r="A27" s="11" t="s">
        <v>52</v>
      </c>
      <c r="B27" s="11" t="s">
        <v>10</v>
      </c>
      <c r="C27" s="11" t="s">
        <v>40</v>
      </c>
      <c r="D27" s="11" t="s">
        <v>26</v>
      </c>
      <c r="E27" s="11" t="s">
        <v>13</v>
      </c>
      <c r="F27" s="11">
        <v>18</v>
      </c>
      <c r="G27" s="11">
        <v>17828.759999999998</v>
      </c>
      <c r="H27" s="11">
        <v>27</v>
      </c>
      <c r="I27" s="12">
        <v>53</v>
      </c>
      <c r="J27" s="15" t="str">
        <f>IF(Table1[[#This Row],[Treatment Cost]]&gt;75000,"HIGH COST","LOW COST")</f>
        <v>LOW COST</v>
      </c>
      <c r="K27" s="15" t="str">
        <f>IF(Table1[[#This Row],[Age]]&gt;=60,"Senior Citizen",IF(AND(Table1[[#This Row],[Age]]&gt;=18,Table1[[#This Row],[Age]]&lt;60),"Adult",IF(Table1[[#This Row],[Age]]&lt;18,"Child")))</f>
        <v>Adult</v>
      </c>
      <c r="L27" s="19"/>
    </row>
    <row r="28" spans="1:12" x14ac:dyDescent="0.25">
      <c r="A28" s="11" t="s">
        <v>53</v>
      </c>
      <c r="B28" s="11" t="s">
        <v>19</v>
      </c>
      <c r="C28" s="11" t="s">
        <v>40</v>
      </c>
      <c r="D28" s="11" t="s">
        <v>24</v>
      </c>
      <c r="E28" s="11" t="s">
        <v>13</v>
      </c>
      <c r="F28" s="11">
        <v>50</v>
      </c>
      <c r="G28" s="11">
        <v>72486.28</v>
      </c>
      <c r="H28" s="11">
        <v>1</v>
      </c>
      <c r="I28" s="12">
        <v>93</v>
      </c>
      <c r="J28" s="15" t="str">
        <f>IF(Table1[[#This Row],[Treatment Cost]]&gt;75000,"HIGH COST","LOW COST")</f>
        <v>LOW COST</v>
      </c>
      <c r="K28" s="15" t="str">
        <f>IF(Table1[[#This Row],[Age]]&gt;=60,"Senior Citizen",IF(AND(Table1[[#This Row],[Age]]&gt;=18,Table1[[#This Row],[Age]]&lt;60),"Adult",IF(Table1[[#This Row],[Age]]&lt;18,"Child")))</f>
        <v>Adult</v>
      </c>
      <c r="L28" s="19"/>
    </row>
    <row r="29" spans="1:12" x14ac:dyDescent="0.25">
      <c r="A29" s="11" t="s">
        <v>54</v>
      </c>
      <c r="B29" s="11" t="s">
        <v>36</v>
      </c>
      <c r="C29" s="11" t="s">
        <v>11</v>
      </c>
      <c r="D29" s="11" t="s">
        <v>21</v>
      </c>
      <c r="E29" s="11" t="s">
        <v>29</v>
      </c>
      <c r="F29" s="11">
        <v>27</v>
      </c>
      <c r="G29" s="11">
        <v>190953.29</v>
      </c>
      <c r="H29" s="11">
        <v>26</v>
      </c>
      <c r="I29" s="12">
        <v>95</v>
      </c>
      <c r="J29" s="15" t="str">
        <f>IF(Table1[[#This Row],[Treatment Cost]]&gt;75000,"HIGH COST","LOW COST")</f>
        <v>HIGH COST</v>
      </c>
      <c r="K29" s="15" t="str">
        <f>IF(Table1[[#This Row],[Age]]&gt;=60,"Senior Citizen",IF(AND(Table1[[#This Row],[Age]]&gt;=18,Table1[[#This Row],[Age]]&lt;60),"Adult",IF(Table1[[#This Row],[Age]]&lt;18,"Child")))</f>
        <v>Adult</v>
      </c>
      <c r="L29" s="19"/>
    </row>
    <row r="30" spans="1:12" x14ac:dyDescent="0.25">
      <c r="A30" s="11" t="s">
        <v>55</v>
      </c>
      <c r="B30" s="11" t="s">
        <v>10</v>
      </c>
      <c r="C30" s="11" t="s">
        <v>23</v>
      </c>
      <c r="D30" s="11" t="s">
        <v>26</v>
      </c>
      <c r="E30" s="11" t="s">
        <v>17</v>
      </c>
      <c r="F30" s="11">
        <v>48</v>
      </c>
      <c r="G30" s="11">
        <v>6166.71</v>
      </c>
      <c r="H30" s="11">
        <v>8</v>
      </c>
      <c r="I30" s="12">
        <v>95</v>
      </c>
      <c r="J30" s="15" t="str">
        <f>IF(Table1[[#This Row],[Treatment Cost]]&gt;75000,"HIGH COST","LOW COST")</f>
        <v>LOW COST</v>
      </c>
      <c r="K30" s="15" t="str">
        <f>IF(Table1[[#This Row],[Age]]&gt;=60,"Senior Citizen",IF(AND(Table1[[#This Row],[Age]]&gt;=18,Table1[[#This Row],[Age]]&lt;60),"Adult",IF(Table1[[#This Row],[Age]]&lt;18,"Child")))</f>
        <v>Adult</v>
      </c>
      <c r="L30" s="19"/>
    </row>
    <row r="31" spans="1:12" x14ac:dyDescent="0.25">
      <c r="A31" s="11" t="s">
        <v>56</v>
      </c>
      <c r="B31" s="11" t="s">
        <v>10</v>
      </c>
      <c r="C31" s="11" t="s">
        <v>11</v>
      </c>
      <c r="D31" s="11" t="s">
        <v>21</v>
      </c>
      <c r="E31" s="11" t="s">
        <v>17</v>
      </c>
      <c r="F31" s="11">
        <v>14</v>
      </c>
      <c r="G31" s="11">
        <v>80015.539999999994</v>
      </c>
      <c r="H31" s="11">
        <v>13</v>
      </c>
      <c r="I31" s="12">
        <v>47</v>
      </c>
      <c r="J31" s="15" t="str">
        <f>IF(Table1[[#This Row],[Treatment Cost]]&gt;75000,"HIGH COST","LOW COST")</f>
        <v>HIGH COST</v>
      </c>
      <c r="K31" s="15" t="str">
        <f>IF(Table1[[#This Row],[Age]]&gt;=60,"Senior Citizen",IF(AND(Table1[[#This Row],[Age]]&gt;=18,Table1[[#This Row],[Age]]&lt;60),"Adult",IF(Table1[[#This Row],[Age]]&lt;18,"Child")))</f>
        <v>Child</v>
      </c>
      <c r="L31" s="19"/>
    </row>
    <row r="32" spans="1:12" x14ac:dyDescent="0.25">
      <c r="A32" s="11" t="s">
        <v>57</v>
      </c>
      <c r="B32" s="11" t="s">
        <v>10</v>
      </c>
      <c r="C32" s="11" t="s">
        <v>40</v>
      </c>
      <c r="D32" s="11" t="s">
        <v>16</v>
      </c>
      <c r="E32" s="11" t="s">
        <v>13</v>
      </c>
      <c r="F32" s="11">
        <v>72</v>
      </c>
      <c r="G32" s="11">
        <v>81761.490000000005</v>
      </c>
      <c r="H32" s="11">
        <v>29</v>
      </c>
      <c r="I32" s="12">
        <v>82</v>
      </c>
      <c r="J32" s="15" t="str">
        <f>IF(Table1[[#This Row],[Treatment Cost]]&gt;75000,"HIGH COST","LOW COST")</f>
        <v>HIGH COST</v>
      </c>
      <c r="K32" s="15" t="str">
        <f>IF(Table1[[#This Row],[Age]]&gt;=60,"Senior Citizen",IF(AND(Table1[[#This Row],[Age]]&gt;=18,Table1[[#This Row],[Age]]&lt;60),"Adult",IF(Table1[[#This Row],[Age]]&lt;18,"Child")))</f>
        <v>Senior Citizen</v>
      </c>
      <c r="L32" s="19"/>
    </row>
    <row r="33" spans="1:12" x14ac:dyDescent="0.25">
      <c r="A33" s="11" t="s">
        <v>58</v>
      </c>
      <c r="B33" s="11" t="s">
        <v>19</v>
      </c>
      <c r="C33" s="11" t="s">
        <v>20</v>
      </c>
      <c r="D33" s="11" t="s">
        <v>12</v>
      </c>
      <c r="E33" s="11" t="s">
        <v>13</v>
      </c>
      <c r="F33" s="11">
        <v>82</v>
      </c>
      <c r="G33" s="11">
        <v>165087.66</v>
      </c>
      <c r="H33" s="11">
        <v>7</v>
      </c>
      <c r="I33" s="12">
        <v>57</v>
      </c>
      <c r="J33" s="15" t="str">
        <f>IF(Table1[[#This Row],[Treatment Cost]]&gt;75000,"HIGH COST","LOW COST")</f>
        <v>HIGH COST</v>
      </c>
      <c r="K33" s="15" t="str">
        <f>IF(Table1[[#This Row],[Age]]&gt;=60,"Senior Citizen",IF(AND(Table1[[#This Row],[Age]]&gt;=18,Table1[[#This Row],[Age]]&lt;60),"Adult",IF(Table1[[#This Row],[Age]]&lt;18,"Child")))</f>
        <v>Senior Citizen</v>
      </c>
      <c r="L33" s="19"/>
    </row>
    <row r="34" spans="1:12" x14ac:dyDescent="0.25">
      <c r="A34" s="11" t="s">
        <v>59</v>
      </c>
      <c r="B34" s="11" t="s">
        <v>31</v>
      </c>
      <c r="C34" s="11" t="s">
        <v>23</v>
      </c>
      <c r="D34" s="11" t="s">
        <v>26</v>
      </c>
      <c r="E34" s="11" t="s">
        <v>13</v>
      </c>
      <c r="F34" s="11">
        <v>76</v>
      </c>
      <c r="G34" s="11">
        <v>175356.57</v>
      </c>
      <c r="H34" s="11">
        <v>8</v>
      </c>
      <c r="I34" s="12">
        <v>96</v>
      </c>
      <c r="J34" s="15" t="str">
        <f>IF(Table1[[#This Row],[Treatment Cost]]&gt;75000,"HIGH COST","LOW COST")</f>
        <v>HIGH COST</v>
      </c>
      <c r="K34" s="15" t="str">
        <f>IF(Table1[[#This Row],[Age]]&gt;=60,"Senior Citizen",IF(AND(Table1[[#This Row],[Age]]&gt;=18,Table1[[#This Row],[Age]]&lt;60),"Adult",IF(Table1[[#This Row],[Age]]&lt;18,"Child")))</f>
        <v>Senior Citizen</v>
      </c>
      <c r="L34" s="19"/>
    </row>
    <row r="35" spans="1:12" x14ac:dyDescent="0.25">
      <c r="A35" s="11" t="s">
        <v>60</v>
      </c>
      <c r="B35" s="11" t="s">
        <v>31</v>
      </c>
      <c r="C35" s="11" t="s">
        <v>20</v>
      </c>
      <c r="D35" s="11" t="s">
        <v>26</v>
      </c>
      <c r="E35" s="11" t="s">
        <v>17</v>
      </c>
      <c r="F35" s="11">
        <v>55</v>
      </c>
      <c r="G35" s="11">
        <v>82573.09</v>
      </c>
      <c r="H35" s="11">
        <v>5</v>
      </c>
      <c r="I35" s="12">
        <v>54</v>
      </c>
      <c r="J35" s="15" t="str">
        <f>IF(Table1[[#This Row],[Treatment Cost]]&gt;75000,"HIGH COST","LOW COST")</f>
        <v>HIGH COST</v>
      </c>
      <c r="K35" s="15" t="str">
        <f>IF(Table1[[#This Row],[Age]]&gt;=60,"Senior Citizen",IF(AND(Table1[[#This Row],[Age]]&gt;=18,Table1[[#This Row],[Age]]&lt;60),"Adult",IF(Table1[[#This Row],[Age]]&lt;18,"Child")))</f>
        <v>Adult</v>
      </c>
      <c r="L35" s="19"/>
    </row>
    <row r="36" spans="1:12" x14ac:dyDescent="0.25">
      <c r="A36" s="11" t="s">
        <v>61</v>
      </c>
      <c r="B36" s="11" t="s">
        <v>31</v>
      </c>
      <c r="C36" s="11" t="s">
        <v>40</v>
      </c>
      <c r="D36" s="11" t="s">
        <v>26</v>
      </c>
      <c r="E36" s="11" t="s">
        <v>29</v>
      </c>
      <c r="F36" s="11">
        <v>58</v>
      </c>
      <c r="G36" s="11">
        <v>190373.39</v>
      </c>
      <c r="H36" s="11">
        <v>30</v>
      </c>
      <c r="I36" s="12">
        <v>48</v>
      </c>
      <c r="J36" s="15" t="str">
        <f>IF(Table1[[#This Row],[Treatment Cost]]&gt;75000,"HIGH COST","LOW COST")</f>
        <v>HIGH COST</v>
      </c>
      <c r="K36" s="15" t="str">
        <f>IF(Table1[[#This Row],[Age]]&gt;=60,"Senior Citizen",IF(AND(Table1[[#This Row],[Age]]&gt;=18,Table1[[#This Row],[Age]]&lt;60),"Adult",IF(Table1[[#This Row],[Age]]&lt;18,"Child")))</f>
        <v>Adult</v>
      </c>
      <c r="L36" s="19"/>
    </row>
    <row r="37" spans="1:12" x14ac:dyDescent="0.25">
      <c r="A37" s="11" t="s">
        <v>62</v>
      </c>
      <c r="B37" s="11" t="s">
        <v>10</v>
      </c>
      <c r="C37" s="11" t="s">
        <v>11</v>
      </c>
      <c r="D37" s="11" t="s">
        <v>16</v>
      </c>
      <c r="E37" s="11" t="s">
        <v>17</v>
      </c>
      <c r="F37" s="11">
        <v>29</v>
      </c>
      <c r="G37" s="11">
        <v>154928.19</v>
      </c>
      <c r="H37" s="11">
        <v>2</v>
      </c>
      <c r="I37" s="12">
        <v>79</v>
      </c>
      <c r="J37" s="15" t="str">
        <f>IF(Table1[[#This Row],[Treatment Cost]]&gt;75000,"HIGH COST","LOW COST")</f>
        <v>HIGH COST</v>
      </c>
      <c r="K37" s="15" t="str">
        <f>IF(Table1[[#This Row],[Age]]&gt;=60,"Senior Citizen",IF(AND(Table1[[#This Row],[Age]]&gt;=18,Table1[[#This Row],[Age]]&lt;60),"Adult",IF(Table1[[#This Row],[Age]]&lt;18,"Child")))</f>
        <v>Adult</v>
      </c>
      <c r="L37" s="19"/>
    </row>
    <row r="38" spans="1:12" x14ac:dyDescent="0.25">
      <c r="A38" s="11" t="s">
        <v>63</v>
      </c>
      <c r="B38" s="11" t="s">
        <v>34</v>
      </c>
      <c r="C38" s="11" t="s">
        <v>40</v>
      </c>
      <c r="D38" s="11" t="s">
        <v>16</v>
      </c>
      <c r="E38" s="11" t="s">
        <v>29</v>
      </c>
      <c r="F38" s="11">
        <v>6</v>
      </c>
      <c r="G38" s="11">
        <v>26710.43</v>
      </c>
      <c r="H38" s="11">
        <v>3</v>
      </c>
      <c r="I38" s="12">
        <v>84</v>
      </c>
      <c r="J38" s="15" t="str">
        <f>IF(Table1[[#This Row],[Treatment Cost]]&gt;75000,"HIGH COST","LOW COST")</f>
        <v>LOW COST</v>
      </c>
      <c r="K38" s="15" t="str">
        <f>IF(Table1[[#This Row],[Age]]&gt;=60,"Senior Citizen",IF(AND(Table1[[#This Row],[Age]]&gt;=18,Table1[[#This Row],[Age]]&lt;60),"Adult",IF(Table1[[#This Row],[Age]]&lt;18,"Child")))</f>
        <v>Child</v>
      </c>
      <c r="L38" s="19"/>
    </row>
    <row r="39" spans="1:12" x14ac:dyDescent="0.25">
      <c r="A39" s="11" t="s">
        <v>64</v>
      </c>
      <c r="B39" s="11" t="s">
        <v>31</v>
      </c>
      <c r="C39" s="11" t="s">
        <v>40</v>
      </c>
      <c r="D39" s="11" t="s">
        <v>24</v>
      </c>
      <c r="E39" s="11" t="s">
        <v>17</v>
      </c>
      <c r="F39" s="11">
        <v>24</v>
      </c>
      <c r="G39" s="11">
        <v>73116</v>
      </c>
      <c r="H39" s="11">
        <v>28</v>
      </c>
      <c r="I39" s="12">
        <v>76</v>
      </c>
      <c r="J39" s="15" t="str">
        <f>IF(Table1[[#This Row],[Treatment Cost]]&gt;75000,"HIGH COST","LOW COST")</f>
        <v>LOW COST</v>
      </c>
      <c r="K39" s="15" t="str">
        <f>IF(Table1[[#This Row],[Age]]&gt;=60,"Senior Citizen",IF(AND(Table1[[#This Row],[Age]]&gt;=18,Table1[[#This Row],[Age]]&lt;60),"Adult",IF(Table1[[#This Row],[Age]]&lt;18,"Child")))</f>
        <v>Adult</v>
      </c>
      <c r="L39" s="19"/>
    </row>
    <row r="40" spans="1:12" x14ac:dyDescent="0.25">
      <c r="A40" s="11" t="s">
        <v>65</v>
      </c>
      <c r="B40" s="11" t="s">
        <v>19</v>
      </c>
      <c r="C40" s="11" t="s">
        <v>20</v>
      </c>
      <c r="D40" s="11" t="s">
        <v>16</v>
      </c>
      <c r="E40" s="11" t="s">
        <v>17</v>
      </c>
      <c r="F40" s="11">
        <v>23</v>
      </c>
      <c r="G40" s="11">
        <v>154946.41</v>
      </c>
      <c r="H40" s="11">
        <v>12</v>
      </c>
      <c r="I40" s="12">
        <v>42</v>
      </c>
      <c r="J40" s="15" t="str">
        <f>IF(Table1[[#This Row],[Treatment Cost]]&gt;75000,"HIGH COST","LOW COST")</f>
        <v>HIGH COST</v>
      </c>
      <c r="K40" s="15" t="str">
        <f>IF(Table1[[#This Row],[Age]]&gt;=60,"Senior Citizen",IF(AND(Table1[[#This Row],[Age]]&gt;=18,Table1[[#This Row],[Age]]&lt;60),"Adult",IF(Table1[[#This Row],[Age]]&lt;18,"Child")))</f>
        <v>Adult</v>
      </c>
      <c r="L40" s="19"/>
    </row>
    <row r="41" spans="1:12" x14ac:dyDescent="0.25">
      <c r="A41" s="11" t="s">
        <v>66</v>
      </c>
      <c r="B41" s="11" t="s">
        <v>34</v>
      </c>
      <c r="C41" s="11" t="s">
        <v>20</v>
      </c>
      <c r="D41" s="11" t="s">
        <v>21</v>
      </c>
      <c r="E41" s="11" t="s">
        <v>29</v>
      </c>
      <c r="F41" s="11">
        <v>44</v>
      </c>
      <c r="G41" s="11">
        <v>122475.14</v>
      </c>
      <c r="H41" s="11">
        <v>13</v>
      </c>
      <c r="I41" s="12">
        <v>86</v>
      </c>
      <c r="J41" s="15" t="str">
        <f>IF(Table1[[#This Row],[Treatment Cost]]&gt;75000,"HIGH COST","LOW COST")</f>
        <v>HIGH COST</v>
      </c>
      <c r="K41" s="15" t="str">
        <f>IF(Table1[[#This Row],[Age]]&gt;=60,"Senior Citizen",IF(AND(Table1[[#This Row],[Age]]&gt;=18,Table1[[#This Row],[Age]]&lt;60),"Adult",IF(Table1[[#This Row],[Age]]&lt;18,"Child")))</f>
        <v>Adult</v>
      </c>
      <c r="L41" s="19"/>
    </row>
    <row r="42" spans="1:12" x14ac:dyDescent="0.25">
      <c r="A42" s="11" t="s">
        <v>67</v>
      </c>
      <c r="B42" s="11" t="s">
        <v>31</v>
      </c>
      <c r="C42" s="11" t="s">
        <v>11</v>
      </c>
      <c r="D42" s="11" t="s">
        <v>24</v>
      </c>
      <c r="E42" s="11" t="s">
        <v>29</v>
      </c>
      <c r="F42" s="11">
        <v>61</v>
      </c>
      <c r="G42" s="11">
        <v>44785.39</v>
      </c>
      <c r="H42" s="11">
        <v>18</v>
      </c>
      <c r="I42" s="12">
        <v>60</v>
      </c>
      <c r="J42" s="15" t="str">
        <f>IF(Table1[[#This Row],[Treatment Cost]]&gt;75000,"HIGH COST","LOW COST")</f>
        <v>LOW COST</v>
      </c>
      <c r="K42" s="15" t="str">
        <f>IF(Table1[[#This Row],[Age]]&gt;=60,"Senior Citizen",IF(AND(Table1[[#This Row],[Age]]&gt;=18,Table1[[#This Row],[Age]]&lt;60),"Adult",IF(Table1[[#This Row],[Age]]&lt;18,"Child")))</f>
        <v>Senior Citizen</v>
      </c>
      <c r="L42" s="19"/>
    </row>
    <row r="43" spans="1:12" x14ac:dyDescent="0.25">
      <c r="A43" s="11" t="s">
        <v>68</v>
      </c>
      <c r="B43" s="11" t="s">
        <v>31</v>
      </c>
      <c r="C43" s="11" t="s">
        <v>11</v>
      </c>
      <c r="D43" s="11" t="s">
        <v>24</v>
      </c>
      <c r="E43" s="11" t="s">
        <v>29</v>
      </c>
      <c r="F43" s="11">
        <v>85</v>
      </c>
      <c r="G43" s="11">
        <v>4230.97</v>
      </c>
      <c r="H43" s="11">
        <v>15</v>
      </c>
      <c r="I43" s="12">
        <v>59</v>
      </c>
      <c r="J43" s="15" t="str">
        <f>IF(Table1[[#This Row],[Treatment Cost]]&gt;75000,"HIGH COST","LOW COST")</f>
        <v>LOW COST</v>
      </c>
      <c r="K43" s="15" t="str">
        <f>IF(Table1[[#This Row],[Age]]&gt;=60,"Senior Citizen",IF(AND(Table1[[#This Row],[Age]]&gt;=18,Table1[[#This Row],[Age]]&lt;60),"Adult",IF(Table1[[#This Row],[Age]]&lt;18,"Child")))</f>
        <v>Senior Citizen</v>
      </c>
      <c r="L43" s="19"/>
    </row>
    <row r="44" spans="1:12" x14ac:dyDescent="0.25">
      <c r="A44" s="11" t="s">
        <v>69</v>
      </c>
      <c r="B44" s="11" t="s">
        <v>36</v>
      </c>
      <c r="C44" s="11" t="s">
        <v>23</v>
      </c>
      <c r="D44" s="11" t="s">
        <v>26</v>
      </c>
      <c r="E44" s="11" t="s">
        <v>13</v>
      </c>
      <c r="F44" s="11">
        <v>11</v>
      </c>
      <c r="G44" s="11">
        <v>190757.12</v>
      </c>
      <c r="H44" s="11">
        <v>15</v>
      </c>
      <c r="I44" s="12">
        <v>65</v>
      </c>
      <c r="J44" s="15" t="str">
        <f>IF(Table1[[#This Row],[Treatment Cost]]&gt;75000,"HIGH COST","LOW COST")</f>
        <v>HIGH COST</v>
      </c>
      <c r="K44" s="15" t="str">
        <f>IF(Table1[[#This Row],[Age]]&gt;=60,"Senior Citizen",IF(AND(Table1[[#This Row],[Age]]&gt;=18,Table1[[#This Row],[Age]]&lt;60),"Adult",IF(Table1[[#This Row],[Age]]&lt;18,"Child")))</f>
        <v>Child</v>
      </c>
      <c r="L44" s="19"/>
    </row>
    <row r="45" spans="1:12" x14ac:dyDescent="0.25">
      <c r="A45" s="11" t="s">
        <v>70</v>
      </c>
      <c r="B45" s="11" t="s">
        <v>15</v>
      </c>
      <c r="C45" s="11" t="s">
        <v>23</v>
      </c>
      <c r="D45" s="11" t="s">
        <v>26</v>
      </c>
      <c r="E45" s="11" t="s">
        <v>29</v>
      </c>
      <c r="F45" s="11">
        <v>70</v>
      </c>
      <c r="G45" s="11">
        <v>161131.6</v>
      </c>
      <c r="H45" s="11">
        <v>8</v>
      </c>
      <c r="I45" s="12">
        <v>74</v>
      </c>
      <c r="J45" s="15" t="str">
        <f>IF(Table1[[#This Row],[Treatment Cost]]&gt;75000,"HIGH COST","LOW COST")</f>
        <v>HIGH COST</v>
      </c>
      <c r="K45" s="15" t="str">
        <f>IF(Table1[[#This Row],[Age]]&gt;=60,"Senior Citizen",IF(AND(Table1[[#This Row],[Age]]&gt;=18,Table1[[#This Row],[Age]]&lt;60),"Adult",IF(Table1[[#This Row],[Age]]&lt;18,"Child")))</f>
        <v>Senior Citizen</v>
      </c>
      <c r="L45" s="19"/>
    </row>
    <row r="46" spans="1:12" x14ac:dyDescent="0.25">
      <c r="A46" s="11" t="s">
        <v>71</v>
      </c>
      <c r="B46" s="11" t="s">
        <v>19</v>
      </c>
      <c r="C46" s="11" t="s">
        <v>23</v>
      </c>
      <c r="D46" s="11" t="s">
        <v>24</v>
      </c>
      <c r="E46" s="11" t="s">
        <v>13</v>
      </c>
      <c r="F46" s="11">
        <v>10</v>
      </c>
      <c r="G46" s="11">
        <v>73649.5</v>
      </c>
      <c r="H46" s="11">
        <v>1</v>
      </c>
      <c r="I46" s="12">
        <v>74</v>
      </c>
      <c r="J46" s="15" t="str">
        <f>IF(Table1[[#This Row],[Treatment Cost]]&gt;75000,"HIGH COST","LOW COST")</f>
        <v>LOW COST</v>
      </c>
      <c r="K46" s="15" t="str">
        <f>IF(Table1[[#This Row],[Age]]&gt;=60,"Senior Citizen",IF(AND(Table1[[#This Row],[Age]]&gt;=18,Table1[[#This Row],[Age]]&lt;60),"Adult",IF(Table1[[#This Row],[Age]]&lt;18,"Child")))</f>
        <v>Child</v>
      </c>
      <c r="L46" s="19"/>
    </row>
    <row r="47" spans="1:12" x14ac:dyDescent="0.25">
      <c r="A47" s="11" t="s">
        <v>72</v>
      </c>
      <c r="B47" s="11" t="s">
        <v>31</v>
      </c>
      <c r="C47" s="11" t="s">
        <v>11</v>
      </c>
      <c r="D47" s="11" t="s">
        <v>26</v>
      </c>
      <c r="E47" s="11" t="s">
        <v>17</v>
      </c>
      <c r="F47" s="11">
        <v>88</v>
      </c>
      <c r="G47" s="11">
        <v>61188.39</v>
      </c>
      <c r="H47" s="11">
        <v>23</v>
      </c>
      <c r="I47" s="12">
        <v>67</v>
      </c>
      <c r="J47" s="15" t="str">
        <f>IF(Table1[[#This Row],[Treatment Cost]]&gt;75000,"HIGH COST","LOW COST")</f>
        <v>LOW COST</v>
      </c>
      <c r="K47" s="15" t="str">
        <f>IF(Table1[[#This Row],[Age]]&gt;=60,"Senior Citizen",IF(AND(Table1[[#This Row],[Age]]&gt;=18,Table1[[#This Row],[Age]]&lt;60),"Adult",IF(Table1[[#This Row],[Age]]&lt;18,"Child")))</f>
        <v>Senior Citizen</v>
      </c>
      <c r="L47" s="19"/>
    </row>
    <row r="48" spans="1:12" x14ac:dyDescent="0.25">
      <c r="A48" s="11" t="s">
        <v>73</v>
      </c>
      <c r="B48" s="11" t="s">
        <v>19</v>
      </c>
      <c r="C48" s="11" t="s">
        <v>20</v>
      </c>
      <c r="D48" s="11" t="s">
        <v>12</v>
      </c>
      <c r="E48" s="11" t="s">
        <v>17</v>
      </c>
      <c r="F48" s="11">
        <v>59</v>
      </c>
      <c r="G48" s="11">
        <v>102180.68</v>
      </c>
      <c r="H48" s="11">
        <v>26</v>
      </c>
      <c r="I48" s="12">
        <v>99</v>
      </c>
      <c r="J48" s="15" t="str">
        <f>IF(Table1[[#This Row],[Treatment Cost]]&gt;75000,"HIGH COST","LOW COST")</f>
        <v>HIGH COST</v>
      </c>
      <c r="K48" s="15" t="str">
        <f>IF(Table1[[#This Row],[Age]]&gt;=60,"Senior Citizen",IF(AND(Table1[[#This Row],[Age]]&gt;=18,Table1[[#This Row],[Age]]&lt;60),"Adult",IF(Table1[[#This Row],[Age]]&lt;18,"Child")))</f>
        <v>Adult</v>
      </c>
      <c r="L48" s="19"/>
    </row>
    <row r="49" spans="1:12" x14ac:dyDescent="0.25">
      <c r="A49" s="11" t="s">
        <v>74</v>
      </c>
      <c r="B49" s="11" t="s">
        <v>34</v>
      </c>
      <c r="C49" s="11" t="s">
        <v>23</v>
      </c>
      <c r="D49" s="11" t="s">
        <v>21</v>
      </c>
      <c r="E49" s="11" t="s">
        <v>29</v>
      </c>
      <c r="F49" s="11">
        <v>62</v>
      </c>
      <c r="G49" s="11">
        <v>94266.39</v>
      </c>
      <c r="H49" s="11">
        <v>13</v>
      </c>
      <c r="I49" s="12">
        <v>51</v>
      </c>
      <c r="J49" s="15" t="str">
        <f>IF(Table1[[#This Row],[Treatment Cost]]&gt;75000,"HIGH COST","LOW COST")</f>
        <v>HIGH COST</v>
      </c>
      <c r="K49" s="15" t="str">
        <f>IF(Table1[[#This Row],[Age]]&gt;=60,"Senior Citizen",IF(AND(Table1[[#This Row],[Age]]&gt;=18,Table1[[#This Row],[Age]]&lt;60),"Adult",IF(Table1[[#This Row],[Age]]&lt;18,"Child")))</f>
        <v>Senior Citizen</v>
      </c>
      <c r="L49" s="19"/>
    </row>
    <row r="50" spans="1:12" x14ac:dyDescent="0.25">
      <c r="A50" s="11" t="s">
        <v>75</v>
      </c>
      <c r="B50" s="11" t="s">
        <v>10</v>
      </c>
      <c r="C50" s="11" t="s">
        <v>11</v>
      </c>
      <c r="D50" s="11" t="s">
        <v>21</v>
      </c>
      <c r="E50" s="11" t="s">
        <v>13</v>
      </c>
      <c r="F50" s="11">
        <v>87</v>
      </c>
      <c r="G50" s="11">
        <v>16790.689999999999</v>
      </c>
      <c r="H50" s="11">
        <v>5</v>
      </c>
      <c r="I50" s="12">
        <v>51</v>
      </c>
      <c r="J50" s="15" t="str">
        <f>IF(Table1[[#This Row],[Treatment Cost]]&gt;75000,"HIGH COST","LOW COST")</f>
        <v>LOW COST</v>
      </c>
      <c r="K50" s="15" t="str">
        <f>IF(Table1[[#This Row],[Age]]&gt;=60,"Senior Citizen",IF(AND(Table1[[#This Row],[Age]]&gt;=18,Table1[[#This Row],[Age]]&lt;60),"Adult",IF(Table1[[#This Row],[Age]]&lt;18,"Child")))</f>
        <v>Senior Citizen</v>
      </c>
      <c r="L50" s="19"/>
    </row>
    <row r="51" spans="1:12" x14ac:dyDescent="0.25">
      <c r="A51" s="11" t="s">
        <v>76</v>
      </c>
      <c r="B51" s="11" t="s">
        <v>10</v>
      </c>
      <c r="C51" s="11" t="s">
        <v>40</v>
      </c>
      <c r="D51" s="11" t="s">
        <v>24</v>
      </c>
      <c r="E51" s="11" t="s">
        <v>29</v>
      </c>
      <c r="F51" s="11">
        <v>32</v>
      </c>
      <c r="G51" s="11">
        <v>35239.75</v>
      </c>
      <c r="H51" s="11">
        <v>7</v>
      </c>
      <c r="I51" s="12">
        <v>49</v>
      </c>
      <c r="J51" s="15" t="str">
        <f>IF(Table1[[#This Row],[Treatment Cost]]&gt;75000,"HIGH COST","LOW COST")</f>
        <v>LOW COST</v>
      </c>
      <c r="K51" s="15" t="str">
        <f>IF(Table1[[#This Row],[Age]]&gt;=60,"Senior Citizen",IF(AND(Table1[[#This Row],[Age]]&gt;=18,Table1[[#This Row],[Age]]&lt;60),"Adult",IF(Table1[[#This Row],[Age]]&lt;18,"Child")))</f>
        <v>Adult</v>
      </c>
      <c r="L51" s="19"/>
    </row>
    <row r="52" spans="1:12" x14ac:dyDescent="0.25">
      <c r="A52" s="11" t="s">
        <v>77</v>
      </c>
      <c r="B52" s="11" t="s">
        <v>15</v>
      </c>
      <c r="C52" s="11" t="s">
        <v>11</v>
      </c>
      <c r="D52" s="11" t="s">
        <v>16</v>
      </c>
      <c r="E52" s="11" t="s">
        <v>29</v>
      </c>
      <c r="F52" s="11">
        <v>41</v>
      </c>
      <c r="G52" s="11">
        <v>21174.65</v>
      </c>
      <c r="H52" s="11">
        <v>1</v>
      </c>
      <c r="I52" s="12">
        <v>48</v>
      </c>
      <c r="J52" s="15" t="str">
        <f>IF(Table1[[#This Row],[Treatment Cost]]&gt;75000,"HIGH COST","LOW COST")</f>
        <v>LOW COST</v>
      </c>
      <c r="K52" s="15" t="str">
        <f>IF(Table1[[#This Row],[Age]]&gt;=60,"Senior Citizen",IF(AND(Table1[[#This Row],[Age]]&gt;=18,Table1[[#This Row],[Age]]&lt;60),"Adult",IF(Table1[[#This Row],[Age]]&lt;18,"Child")))</f>
        <v>Adult</v>
      </c>
      <c r="L52" s="19"/>
    </row>
    <row r="53" spans="1:12" x14ac:dyDescent="0.25">
      <c r="A53" s="11" t="s">
        <v>78</v>
      </c>
      <c r="B53" s="11" t="s">
        <v>15</v>
      </c>
      <c r="C53" s="11" t="s">
        <v>20</v>
      </c>
      <c r="D53" s="11" t="s">
        <v>12</v>
      </c>
      <c r="E53" s="11" t="s">
        <v>13</v>
      </c>
      <c r="F53" s="11">
        <v>12</v>
      </c>
      <c r="G53" s="11">
        <v>148682.53</v>
      </c>
      <c r="H53" s="11">
        <v>3</v>
      </c>
      <c r="I53" s="12">
        <v>68</v>
      </c>
      <c r="J53" s="15" t="str">
        <f>IF(Table1[[#This Row],[Treatment Cost]]&gt;75000,"HIGH COST","LOW COST")</f>
        <v>HIGH COST</v>
      </c>
      <c r="K53" s="15" t="str">
        <f>IF(Table1[[#This Row],[Age]]&gt;=60,"Senior Citizen",IF(AND(Table1[[#This Row],[Age]]&gt;=18,Table1[[#This Row],[Age]]&lt;60),"Adult",IF(Table1[[#This Row],[Age]]&lt;18,"Child")))</f>
        <v>Child</v>
      </c>
      <c r="L53" s="19"/>
    </row>
    <row r="54" spans="1:12" x14ac:dyDescent="0.25">
      <c r="A54" s="11" t="s">
        <v>79</v>
      </c>
      <c r="B54" s="11" t="s">
        <v>15</v>
      </c>
      <c r="C54" s="11" t="s">
        <v>40</v>
      </c>
      <c r="D54" s="11" t="s">
        <v>26</v>
      </c>
      <c r="E54" s="11" t="s">
        <v>13</v>
      </c>
      <c r="F54" s="11">
        <v>2</v>
      </c>
      <c r="G54" s="11">
        <v>17618.91</v>
      </c>
      <c r="H54" s="11">
        <v>14</v>
      </c>
      <c r="I54" s="12">
        <v>94</v>
      </c>
      <c r="J54" s="15" t="str">
        <f>IF(Table1[[#This Row],[Treatment Cost]]&gt;75000,"HIGH COST","LOW COST")</f>
        <v>LOW COST</v>
      </c>
      <c r="K54" s="15" t="str">
        <f>IF(Table1[[#This Row],[Age]]&gt;=60,"Senior Citizen",IF(AND(Table1[[#This Row],[Age]]&gt;=18,Table1[[#This Row],[Age]]&lt;60),"Adult",IF(Table1[[#This Row],[Age]]&lt;18,"Child")))</f>
        <v>Child</v>
      </c>
      <c r="L54" s="19"/>
    </row>
    <row r="55" spans="1:12" x14ac:dyDescent="0.25">
      <c r="A55" s="11" t="s">
        <v>80</v>
      </c>
      <c r="B55" s="11" t="s">
        <v>10</v>
      </c>
      <c r="C55" s="11" t="s">
        <v>40</v>
      </c>
      <c r="D55" s="11" t="s">
        <v>26</v>
      </c>
      <c r="E55" s="11" t="s">
        <v>13</v>
      </c>
      <c r="F55" s="11">
        <v>41</v>
      </c>
      <c r="G55" s="11">
        <v>140709.71</v>
      </c>
      <c r="H55" s="11">
        <v>16</v>
      </c>
      <c r="I55" s="12">
        <v>66</v>
      </c>
      <c r="J55" s="15" t="str">
        <f>IF(Table1[[#This Row],[Treatment Cost]]&gt;75000,"HIGH COST","LOW COST")</f>
        <v>HIGH COST</v>
      </c>
      <c r="K55" s="15" t="str">
        <f>IF(Table1[[#This Row],[Age]]&gt;=60,"Senior Citizen",IF(AND(Table1[[#This Row],[Age]]&gt;=18,Table1[[#This Row],[Age]]&lt;60),"Adult",IF(Table1[[#This Row],[Age]]&lt;18,"Child")))</f>
        <v>Adult</v>
      </c>
      <c r="L55" s="19"/>
    </row>
    <row r="56" spans="1:12" x14ac:dyDescent="0.25">
      <c r="A56" s="11" t="s">
        <v>81</v>
      </c>
      <c r="B56" s="11" t="s">
        <v>36</v>
      </c>
      <c r="C56" s="11" t="s">
        <v>11</v>
      </c>
      <c r="D56" s="11" t="s">
        <v>16</v>
      </c>
      <c r="E56" s="11" t="s">
        <v>29</v>
      </c>
      <c r="F56" s="11">
        <v>22</v>
      </c>
      <c r="G56" s="11">
        <v>174081.1</v>
      </c>
      <c r="H56" s="11">
        <v>7</v>
      </c>
      <c r="I56" s="12">
        <v>82</v>
      </c>
      <c r="J56" s="15" t="str">
        <f>IF(Table1[[#This Row],[Treatment Cost]]&gt;75000,"HIGH COST","LOW COST")</f>
        <v>HIGH COST</v>
      </c>
      <c r="K56" s="15" t="str">
        <f>IF(Table1[[#This Row],[Age]]&gt;=60,"Senior Citizen",IF(AND(Table1[[#This Row],[Age]]&gt;=18,Table1[[#This Row],[Age]]&lt;60),"Adult",IF(Table1[[#This Row],[Age]]&lt;18,"Child")))</f>
        <v>Adult</v>
      </c>
      <c r="L56" s="19"/>
    </row>
    <row r="57" spans="1:12" x14ac:dyDescent="0.25">
      <c r="A57" s="11" t="s">
        <v>82</v>
      </c>
      <c r="B57" s="11" t="s">
        <v>31</v>
      </c>
      <c r="C57" s="11" t="s">
        <v>40</v>
      </c>
      <c r="D57" s="11" t="s">
        <v>24</v>
      </c>
      <c r="E57" s="11" t="s">
        <v>29</v>
      </c>
      <c r="F57" s="11">
        <v>12</v>
      </c>
      <c r="G57" s="11">
        <v>198550.69</v>
      </c>
      <c r="H57" s="11">
        <v>13</v>
      </c>
      <c r="I57" s="12">
        <v>75</v>
      </c>
      <c r="J57" s="15" t="str">
        <f>IF(Table1[[#This Row],[Treatment Cost]]&gt;75000,"HIGH COST","LOW COST")</f>
        <v>HIGH COST</v>
      </c>
      <c r="K57" s="15" t="str">
        <f>IF(Table1[[#This Row],[Age]]&gt;=60,"Senior Citizen",IF(AND(Table1[[#This Row],[Age]]&gt;=18,Table1[[#This Row],[Age]]&lt;60),"Adult",IF(Table1[[#This Row],[Age]]&lt;18,"Child")))</f>
        <v>Child</v>
      </c>
      <c r="L57" s="19"/>
    </row>
    <row r="58" spans="1:12" x14ac:dyDescent="0.25">
      <c r="A58" s="11" t="s">
        <v>83</v>
      </c>
      <c r="B58" s="11" t="s">
        <v>34</v>
      </c>
      <c r="C58" s="11" t="s">
        <v>20</v>
      </c>
      <c r="D58" s="11" t="s">
        <v>16</v>
      </c>
      <c r="E58" s="11" t="s">
        <v>17</v>
      </c>
      <c r="F58" s="11">
        <v>4</v>
      </c>
      <c r="G58" s="11">
        <v>195378.45</v>
      </c>
      <c r="H58" s="11">
        <v>12</v>
      </c>
      <c r="I58" s="12">
        <v>97</v>
      </c>
      <c r="J58" s="15" t="str">
        <f>IF(Table1[[#This Row],[Treatment Cost]]&gt;75000,"HIGH COST","LOW COST")</f>
        <v>HIGH COST</v>
      </c>
      <c r="K58" s="15" t="str">
        <f>IF(Table1[[#This Row],[Age]]&gt;=60,"Senior Citizen",IF(AND(Table1[[#This Row],[Age]]&gt;=18,Table1[[#This Row],[Age]]&lt;60),"Adult",IF(Table1[[#This Row],[Age]]&lt;18,"Child")))</f>
        <v>Child</v>
      </c>
      <c r="L58" s="19"/>
    </row>
    <row r="59" spans="1:12" x14ac:dyDescent="0.25">
      <c r="A59" s="11" t="s">
        <v>84</v>
      </c>
      <c r="B59" s="11" t="s">
        <v>31</v>
      </c>
      <c r="C59" s="11" t="s">
        <v>20</v>
      </c>
      <c r="D59" s="11" t="s">
        <v>12</v>
      </c>
      <c r="E59" s="11" t="s">
        <v>13</v>
      </c>
      <c r="F59" s="11">
        <v>9</v>
      </c>
      <c r="G59" s="11">
        <v>33646.769999999997</v>
      </c>
      <c r="H59" s="11">
        <v>2</v>
      </c>
      <c r="I59" s="12">
        <v>93</v>
      </c>
      <c r="J59" s="15" t="str">
        <f>IF(Table1[[#This Row],[Treatment Cost]]&gt;75000,"HIGH COST","LOW COST")</f>
        <v>LOW COST</v>
      </c>
      <c r="K59" s="15" t="str">
        <f>IF(Table1[[#This Row],[Age]]&gt;=60,"Senior Citizen",IF(AND(Table1[[#This Row],[Age]]&gt;=18,Table1[[#This Row],[Age]]&lt;60),"Adult",IF(Table1[[#This Row],[Age]]&lt;18,"Child")))</f>
        <v>Child</v>
      </c>
      <c r="L59" s="19"/>
    </row>
    <row r="60" spans="1:12" x14ac:dyDescent="0.25">
      <c r="A60" s="11" t="s">
        <v>85</v>
      </c>
      <c r="B60" s="11" t="s">
        <v>19</v>
      </c>
      <c r="C60" s="11" t="s">
        <v>40</v>
      </c>
      <c r="D60" s="11" t="s">
        <v>24</v>
      </c>
      <c r="E60" s="11" t="s">
        <v>29</v>
      </c>
      <c r="F60" s="11">
        <v>90</v>
      </c>
      <c r="G60" s="11">
        <v>164022.23000000001</v>
      </c>
      <c r="H60" s="11">
        <v>17</v>
      </c>
      <c r="I60" s="12">
        <v>97</v>
      </c>
      <c r="J60" s="15" t="str">
        <f>IF(Table1[[#This Row],[Treatment Cost]]&gt;75000,"HIGH COST","LOW COST")</f>
        <v>HIGH COST</v>
      </c>
      <c r="K60" s="15" t="str">
        <f>IF(Table1[[#This Row],[Age]]&gt;=60,"Senior Citizen",IF(AND(Table1[[#This Row],[Age]]&gt;=18,Table1[[#This Row],[Age]]&lt;60),"Adult",IF(Table1[[#This Row],[Age]]&lt;18,"Child")))</f>
        <v>Senior Citizen</v>
      </c>
      <c r="L60" s="19"/>
    </row>
    <row r="61" spans="1:12" x14ac:dyDescent="0.25">
      <c r="A61" s="11" t="s">
        <v>86</v>
      </c>
      <c r="B61" s="11" t="s">
        <v>15</v>
      </c>
      <c r="C61" s="11" t="s">
        <v>23</v>
      </c>
      <c r="D61" s="11" t="s">
        <v>12</v>
      </c>
      <c r="E61" s="11" t="s">
        <v>17</v>
      </c>
      <c r="F61" s="11">
        <v>75</v>
      </c>
      <c r="G61" s="11">
        <v>188929.01</v>
      </c>
      <c r="H61" s="11">
        <v>20</v>
      </c>
      <c r="I61" s="12">
        <v>65</v>
      </c>
      <c r="J61" s="15" t="str">
        <f>IF(Table1[[#This Row],[Treatment Cost]]&gt;75000,"HIGH COST","LOW COST")</f>
        <v>HIGH COST</v>
      </c>
      <c r="K61" s="15" t="str">
        <f>IF(Table1[[#This Row],[Age]]&gt;=60,"Senior Citizen",IF(AND(Table1[[#This Row],[Age]]&gt;=18,Table1[[#This Row],[Age]]&lt;60),"Adult",IF(Table1[[#This Row],[Age]]&lt;18,"Child")))</f>
        <v>Senior Citizen</v>
      </c>
      <c r="L61" s="19"/>
    </row>
    <row r="62" spans="1:12" x14ac:dyDescent="0.25">
      <c r="A62" s="11" t="s">
        <v>87</v>
      </c>
      <c r="B62" s="11" t="s">
        <v>36</v>
      </c>
      <c r="C62" s="11" t="s">
        <v>11</v>
      </c>
      <c r="D62" s="11" t="s">
        <v>26</v>
      </c>
      <c r="E62" s="11" t="s">
        <v>29</v>
      </c>
      <c r="F62" s="11">
        <v>13</v>
      </c>
      <c r="G62" s="11">
        <v>162206.89000000001</v>
      </c>
      <c r="H62" s="11">
        <v>25</v>
      </c>
      <c r="I62" s="12">
        <v>83</v>
      </c>
      <c r="J62" s="15" t="str">
        <f>IF(Table1[[#This Row],[Treatment Cost]]&gt;75000,"HIGH COST","LOW COST")</f>
        <v>HIGH COST</v>
      </c>
      <c r="K62" s="15" t="str">
        <f>IF(Table1[[#This Row],[Age]]&gt;=60,"Senior Citizen",IF(AND(Table1[[#This Row],[Age]]&gt;=18,Table1[[#This Row],[Age]]&lt;60),"Adult",IF(Table1[[#This Row],[Age]]&lt;18,"Child")))</f>
        <v>Child</v>
      </c>
      <c r="L62" s="19"/>
    </row>
    <row r="63" spans="1:12" x14ac:dyDescent="0.25">
      <c r="A63" s="11" t="s">
        <v>88</v>
      </c>
      <c r="B63" s="11" t="s">
        <v>19</v>
      </c>
      <c r="C63" s="11" t="s">
        <v>23</v>
      </c>
      <c r="D63" s="11" t="s">
        <v>16</v>
      </c>
      <c r="E63" s="11" t="s">
        <v>29</v>
      </c>
      <c r="F63" s="11">
        <v>8</v>
      </c>
      <c r="G63" s="11">
        <v>170444.81</v>
      </c>
      <c r="H63" s="11">
        <v>14</v>
      </c>
      <c r="I63" s="12">
        <v>60</v>
      </c>
      <c r="J63" s="15" t="str">
        <f>IF(Table1[[#This Row],[Treatment Cost]]&gt;75000,"HIGH COST","LOW COST")</f>
        <v>HIGH COST</v>
      </c>
      <c r="K63" s="15" t="str">
        <f>IF(Table1[[#This Row],[Age]]&gt;=60,"Senior Citizen",IF(AND(Table1[[#This Row],[Age]]&gt;=18,Table1[[#This Row],[Age]]&lt;60),"Adult",IF(Table1[[#This Row],[Age]]&lt;18,"Child")))</f>
        <v>Child</v>
      </c>
      <c r="L63" s="19"/>
    </row>
    <row r="64" spans="1:12" x14ac:dyDescent="0.25">
      <c r="A64" s="11" t="s">
        <v>89</v>
      </c>
      <c r="B64" s="11" t="s">
        <v>15</v>
      </c>
      <c r="C64" s="11" t="s">
        <v>23</v>
      </c>
      <c r="D64" s="11" t="s">
        <v>21</v>
      </c>
      <c r="E64" s="11" t="s">
        <v>29</v>
      </c>
      <c r="F64" s="11">
        <v>84</v>
      </c>
      <c r="G64" s="11">
        <v>161331.17000000001</v>
      </c>
      <c r="H64" s="11">
        <v>23</v>
      </c>
      <c r="I64" s="12">
        <v>54</v>
      </c>
      <c r="J64" s="15" t="str">
        <f>IF(Table1[[#This Row],[Treatment Cost]]&gt;75000,"HIGH COST","LOW COST")</f>
        <v>HIGH COST</v>
      </c>
      <c r="K64" s="15" t="str">
        <f>IF(Table1[[#This Row],[Age]]&gt;=60,"Senior Citizen",IF(AND(Table1[[#This Row],[Age]]&gt;=18,Table1[[#This Row],[Age]]&lt;60),"Adult",IF(Table1[[#This Row],[Age]]&lt;18,"Child")))</f>
        <v>Senior Citizen</v>
      </c>
      <c r="L64" s="19"/>
    </row>
    <row r="65" spans="1:12" x14ac:dyDescent="0.25">
      <c r="A65" s="11" t="s">
        <v>90</v>
      </c>
      <c r="B65" s="11" t="s">
        <v>10</v>
      </c>
      <c r="C65" s="11" t="s">
        <v>11</v>
      </c>
      <c r="D65" s="11" t="s">
        <v>26</v>
      </c>
      <c r="E65" s="11" t="s">
        <v>13</v>
      </c>
      <c r="F65" s="11">
        <v>72</v>
      </c>
      <c r="G65" s="11">
        <v>62093.89</v>
      </c>
      <c r="H65" s="11">
        <v>25</v>
      </c>
      <c r="I65" s="12">
        <v>45</v>
      </c>
      <c r="J65" s="15" t="str">
        <f>IF(Table1[[#This Row],[Treatment Cost]]&gt;75000,"HIGH COST","LOW COST")</f>
        <v>LOW COST</v>
      </c>
      <c r="K65" s="15" t="str">
        <f>IF(Table1[[#This Row],[Age]]&gt;=60,"Senior Citizen",IF(AND(Table1[[#This Row],[Age]]&gt;=18,Table1[[#This Row],[Age]]&lt;60),"Adult",IF(Table1[[#This Row],[Age]]&lt;18,"Child")))</f>
        <v>Senior Citizen</v>
      </c>
      <c r="L65" s="19"/>
    </row>
    <row r="66" spans="1:12" x14ac:dyDescent="0.25">
      <c r="A66" s="11" t="s">
        <v>91</v>
      </c>
      <c r="B66" s="11" t="s">
        <v>15</v>
      </c>
      <c r="C66" s="11" t="s">
        <v>11</v>
      </c>
      <c r="D66" s="11" t="s">
        <v>26</v>
      </c>
      <c r="E66" s="11" t="s">
        <v>13</v>
      </c>
      <c r="F66" s="11">
        <v>21</v>
      </c>
      <c r="G66" s="11">
        <v>116049.23</v>
      </c>
      <c r="H66" s="11">
        <v>22</v>
      </c>
      <c r="I66" s="12">
        <v>97</v>
      </c>
      <c r="J66" s="15" t="str">
        <f>IF(Table1[[#This Row],[Treatment Cost]]&gt;75000,"HIGH COST","LOW COST")</f>
        <v>HIGH COST</v>
      </c>
      <c r="K66" s="15" t="str">
        <f>IF(Table1[[#This Row],[Age]]&gt;=60,"Senior Citizen",IF(AND(Table1[[#This Row],[Age]]&gt;=18,Table1[[#This Row],[Age]]&lt;60),"Adult",IF(Table1[[#This Row],[Age]]&lt;18,"Child")))</f>
        <v>Adult</v>
      </c>
      <c r="L66" s="19"/>
    </row>
    <row r="67" spans="1:12" x14ac:dyDescent="0.25">
      <c r="A67" s="11" t="s">
        <v>92</v>
      </c>
      <c r="B67" s="11" t="s">
        <v>15</v>
      </c>
      <c r="C67" s="11" t="s">
        <v>40</v>
      </c>
      <c r="D67" s="11" t="s">
        <v>16</v>
      </c>
      <c r="E67" s="11" t="s">
        <v>17</v>
      </c>
      <c r="F67" s="11">
        <v>25</v>
      </c>
      <c r="G67" s="11">
        <v>128805.91</v>
      </c>
      <c r="H67" s="11">
        <v>24</v>
      </c>
      <c r="I67" s="12">
        <v>67</v>
      </c>
      <c r="J67" s="15" t="str">
        <f>IF(Table1[[#This Row],[Treatment Cost]]&gt;75000,"HIGH COST","LOW COST")</f>
        <v>HIGH COST</v>
      </c>
      <c r="K67" s="15" t="str">
        <f>IF(Table1[[#This Row],[Age]]&gt;=60,"Senior Citizen",IF(AND(Table1[[#This Row],[Age]]&gt;=18,Table1[[#This Row],[Age]]&lt;60),"Adult",IF(Table1[[#This Row],[Age]]&lt;18,"Child")))</f>
        <v>Adult</v>
      </c>
      <c r="L67" s="19"/>
    </row>
    <row r="68" spans="1:12" x14ac:dyDescent="0.25">
      <c r="A68" s="11" t="s">
        <v>93</v>
      </c>
      <c r="B68" s="11" t="s">
        <v>36</v>
      </c>
      <c r="C68" s="11" t="s">
        <v>40</v>
      </c>
      <c r="D68" s="11" t="s">
        <v>24</v>
      </c>
      <c r="E68" s="11" t="s">
        <v>17</v>
      </c>
      <c r="F68" s="11">
        <v>89</v>
      </c>
      <c r="G68" s="11">
        <v>42149.37</v>
      </c>
      <c r="H68" s="11">
        <v>16</v>
      </c>
      <c r="I68" s="12">
        <v>76</v>
      </c>
      <c r="J68" s="15" t="str">
        <f>IF(Table1[[#This Row],[Treatment Cost]]&gt;75000,"HIGH COST","LOW COST")</f>
        <v>LOW COST</v>
      </c>
      <c r="K68" s="15" t="str">
        <f>IF(Table1[[#This Row],[Age]]&gt;=60,"Senior Citizen",IF(AND(Table1[[#This Row],[Age]]&gt;=18,Table1[[#This Row],[Age]]&lt;60),"Adult",IF(Table1[[#This Row],[Age]]&lt;18,"Child")))</f>
        <v>Senior Citizen</v>
      </c>
      <c r="L68" s="19"/>
    </row>
    <row r="69" spans="1:12" x14ac:dyDescent="0.25">
      <c r="A69" s="11" t="s">
        <v>94</v>
      </c>
      <c r="B69" s="11" t="s">
        <v>15</v>
      </c>
      <c r="C69" s="11" t="s">
        <v>20</v>
      </c>
      <c r="D69" s="11" t="s">
        <v>12</v>
      </c>
      <c r="E69" s="11" t="s">
        <v>17</v>
      </c>
      <c r="F69" s="11">
        <v>66</v>
      </c>
      <c r="G69" s="11">
        <v>166067.79</v>
      </c>
      <c r="H69" s="11">
        <v>8</v>
      </c>
      <c r="I69" s="12">
        <v>86</v>
      </c>
      <c r="J69" s="15" t="str">
        <f>IF(Table1[[#This Row],[Treatment Cost]]&gt;75000,"HIGH COST","LOW COST")</f>
        <v>HIGH COST</v>
      </c>
      <c r="K69" s="15" t="str">
        <f>IF(Table1[[#This Row],[Age]]&gt;=60,"Senior Citizen",IF(AND(Table1[[#This Row],[Age]]&gt;=18,Table1[[#This Row],[Age]]&lt;60),"Adult",IF(Table1[[#This Row],[Age]]&lt;18,"Child")))</f>
        <v>Senior Citizen</v>
      </c>
      <c r="L69" s="19"/>
    </row>
    <row r="70" spans="1:12" x14ac:dyDescent="0.25">
      <c r="A70" s="11" t="s">
        <v>95</v>
      </c>
      <c r="B70" s="11" t="s">
        <v>19</v>
      </c>
      <c r="C70" s="11" t="s">
        <v>40</v>
      </c>
      <c r="D70" s="11" t="s">
        <v>12</v>
      </c>
      <c r="E70" s="11" t="s">
        <v>17</v>
      </c>
      <c r="F70" s="11">
        <v>47</v>
      </c>
      <c r="G70" s="11">
        <v>183267.59</v>
      </c>
      <c r="H70" s="11">
        <v>6</v>
      </c>
      <c r="I70" s="12">
        <v>46</v>
      </c>
      <c r="J70" s="15" t="str">
        <f>IF(Table1[[#This Row],[Treatment Cost]]&gt;75000,"HIGH COST","LOW COST")</f>
        <v>HIGH COST</v>
      </c>
      <c r="K70" s="15" t="str">
        <f>IF(Table1[[#This Row],[Age]]&gt;=60,"Senior Citizen",IF(AND(Table1[[#This Row],[Age]]&gt;=18,Table1[[#This Row],[Age]]&lt;60),"Adult",IF(Table1[[#This Row],[Age]]&lt;18,"Child")))</f>
        <v>Adult</v>
      </c>
      <c r="L70" s="19"/>
    </row>
    <row r="71" spans="1:12" x14ac:dyDescent="0.25">
      <c r="A71" s="11" t="s">
        <v>96</v>
      </c>
      <c r="B71" s="11" t="s">
        <v>36</v>
      </c>
      <c r="C71" s="11" t="s">
        <v>40</v>
      </c>
      <c r="D71" s="11" t="s">
        <v>26</v>
      </c>
      <c r="E71" s="11" t="s">
        <v>29</v>
      </c>
      <c r="F71" s="11">
        <v>79</v>
      </c>
      <c r="G71" s="11">
        <v>148972.35999999999</v>
      </c>
      <c r="H71" s="11">
        <v>10</v>
      </c>
      <c r="I71" s="12">
        <v>69</v>
      </c>
      <c r="J71" s="15" t="str">
        <f>IF(Table1[[#This Row],[Treatment Cost]]&gt;75000,"HIGH COST","LOW COST")</f>
        <v>HIGH COST</v>
      </c>
      <c r="K71" s="15" t="str">
        <f>IF(Table1[[#This Row],[Age]]&gt;=60,"Senior Citizen",IF(AND(Table1[[#This Row],[Age]]&gt;=18,Table1[[#This Row],[Age]]&lt;60),"Adult",IF(Table1[[#This Row],[Age]]&lt;18,"Child")))</f>
        <v>Senior Citizen</v>
      </c>
      <c r="L71" s="19"/>
    </row>
    <row r="72" spans="1:12" x14ac:dyDescent="0.25">
      <c r="A72" s="11" t="s">
        <v>97</v>
      </c>
      <c r="B72" s="11" t="s">
        <v>31</v>
      </c>
      <c r="C72" s="11" t="s">
        <v>20</v>
      </c>
      <c r="D72" s="11" t="s">
        <v>21</v>
      </c>
      <c r="E72" s="11" t="s">
        <v>17</v>
      </c>
      <c r="F72" s="11">
        <v>26</v>
      </c>
      <c r="G72" s="11">
        <v>53305.36</v>
      </c>
      <c r="H72" s="11">
        <v>6</v>
      </c>
      <c r="I72" s="12">
        <v>54</v>
      </c>
      <c r="J72" s="15" t="str">
        <f>IF(Table1[[#This Row],[Treatment Cost]]&gt;75000,"HIGH COST","LOW COST")</f>
        <v>LOW COST</v>
      </c>
      <c r="K72" s="15" t="str">
        <f>IF(Table1[[#This Row],[Age]]&gt;=60,"Senior Citizen",IF(AND(Table1[[#This Row],[Age]]&gt;=18,Table1[[#This Row],[Age]]&lt;60),"Adult",IF(Table1[[#This Row],[Age]]&lt;18,"Child")))</f>
        <v>Adult</v>
      </c>
      <c r="L72" s="19"/>
    </row>
    <row r="73" spans="1:12" x14ac:dyDescent="0.25">
      <c r="A73" s="11" t="s">
        <v>98</v>
      </c>
      <c r="B73" s="11" t="s">
        <v>31</v>
      </c>
      <c r="C73" s="11" t="s">
        <v>23</v>
      </c>
      <c r="D73" s="11" t="s">
        <v>26</v>
      </c>
      <c r="E73" s="11" t="s">
        <v>17</v>
      </c>
      <c r="F73" s="11">
        <v>49</v>
      </c>
      <c r="G73" s="11">
        <v>171752.86</v>
      </c>
      <c r="H73" s="11">
        <v>11</v>
      </c>
      <c r="I73" s="12">
        <v>89</v>
      </c>
      <c r="J73" s="15" t="str">
        <f>IF(Table1[[#This Row],[Treatment Cost]]&gt;75000,"HIGH COST","LOW COST")</f>
        <v>HIGH COST</v>
      </c>
      <c r="K73" s="15" t="str">
        <f>IF(Table1[[#This Row],[Age]]&gt;=60,"Senior Citizen",IF(AND(Table1[[#This Row],[Age]]&gt;=18,Table1[[#This Row],[Age]]&lt;60),"Adult",IF(Table1[[#This Row],[Age]]&lt;18,"Child")))</f>
        <v>Adult</v>
      </c>
      <c r="L73" s="19"/>
    </row>
    <row r="74" spans="1:12" x14ac:dyDescent="0.25">
      <c r="A74" s="11" t="s">
        <v>99</v>
      </c>
      <c r="B74" s="11" t="s">
        <v>34</v>
      </c>
      <c r="C74" s="11" t="s">
        <v>11</v>
      </c>
      <c r="D74" s="11" t="s">
        <v>24</v>
      </c>
      <c r="E74" s="11" t="s">
        <v>13</v>
      </c>
      <c r="F74" s="11">
        <v>26</v>
      </c>
      <c r="G74" s="11">
        <v>174172.12</v>
      </c>
      <c r="H74" s="11">
        <v>25</v>
      </c>
      <c r="I74" s="12">
        <v>96</v>
      </c>
      <c r="J74" s="15" t="str">
        <f>IF(Table1[[#This Row],[Treatment Cost]]&gt;75000,"HIGH COST","LOW COST")</f>
        <v>HIGH COST</v>
      </c>
      <c r="K74" s="15" t="str">
        <f>IF(Table1[[#This Row],[Age]]&gt;=60,"Senior Citizen",IF(AND(Table1[[#This Row],[Age]]&gt;=18,Table1[[#This Row],[Age]]&lt;60),"Adult",IF(Table1[[#This Row],[Age]]&lt;18,"Child")))</f>
        <v>Adult</v>
      </c>
      <c r="L74" s="19"/>
    </row>
    <row r="75" spans="1:12" x14ac:dyDescent="0.25">
      <c r="A75" s="11" t="s">
        <v>100</v>
      </c>
      <c r="B75" s="11" t="s">
        <v>15</v>
      </c>
      <c r="C75" s="11" t="s">
        <v>40</v>
      </c>
      <c r="D75" s="11" t="s">
        <v>12</v>
      </c>
      <c r="E75" s="11" t="s">
        <v>13</v>
      </c>
      <c r="F75" s="11">
        <v>35</v>
      </c>
      <c r="G75" s="11">
        <v>21592.68</v>
      </c>
      <c r="H75" s="11">
        <v>17</v>
      </c>
      <c r="I75" s="12">
        <v>51</v>
      </c>
      <c r="J75" s="15" t="str">
        <f>IF(Table1[[#This Row],[Treatment Cost]]&gt;75000,"HIGH COST","LOW COST")</f>
        <v>LOW COST</v>
      </c>
      <c r="K75" s="15" t="str">
        <f>IF(Table1[[#This Row],[Age]]&gt;=60,"Senior Citizen",IF(AND(Table1[[#This Row],[Age]]&gt;=18,Table1[[#This Row],[Age]]&lt;60),"Adult",IF(Table1[[#This Row],[Age]]&lt;18,"Child")))</f>
        <v>Adult</v>
      </c>
      <c r="L75" s="19"/>
    </row>
    <row r="76" spans="1:12" x14ac:dyDescent="0.25">
      <c r="A76" s="11" t="s">
        <v>101</v>
      </c>
      <c r="B76" s="11" t="s">
        <v>10</v>
      </c>
      <c r="C76" s="11" t="s">
        <v>23</v>
      </c>
      <c r="D76" s="11" t="s">
        <v>16</v>
      </c>
      <c r="E76" s="11" t="s">
        <v>17</v>
      </c>
      <c r="F76" s="11">
        <v>36</v>
      </c>
      <c r="G76" s="11">
        <v>62122.81</v>
      </c>
      <c r="H76" s="11">
        <v>25</v>
      </c>
      <c r="I76" s="12">
        <v>56</v>
      </c>
      <c r="J76" s="15" t="str">
        <f>IF(Table1[[#This Row],[Treatment Cost]]&gt;75000,"HIGH COST","LOW COST")</f>
        <v>LOW COST</v>
      </c>
      <c r="K76" s="15" t="str">
        <f>IF(Table1[[#This Row],[Age]]&gt;=60,"Senior Citizen",IF(AND(Table1[[#This Row],[Age]]&gt;=18,Table1[[#This Row],[Age]]&lt;60),"Adult",IF(Table1[[#This Row],[Age]]&lt;18,"Child")))</f>
        <v>Adult</v>
      </c>
      <c r="L76" s="19"/>
    </row>
    <row r="77" spans="1:12" x14ac:dyDescent="0.25">
      <c r="A77" s="11" t="s">
        <v>102</v>
      </c>
      <c r="B77" s="11" t="s">
        <v>19</v>
      </c>
      <c r="C77" s="11" t="s">
        <v>23</v>
      </c>
      <c r="D77" s="11" t="s">
        <v>26</v>
      </c>
      <c r="E77" s="11" t="s">
        <v>13</v>
      </c>
      <c r="F77" s="11">
        <v>77</v>
      </c>
      <c r="G77" s="11">
        <v>57122.79</v>
      </c>
      <c r="H77" s="11">
        <v>26</v>
      </c>
      <c r="I77" s="12">
        <v>49</v>
      </c>
      <c r="J77" s="15" t="str">
        <f>IF(Table1[[#This Row],[Treatment Cost]]&gt;75000,"HIGH COST","LOW COST")</f>
        <v>LOW COST</v>
      </c>
      <c r="K77" s="15" t="str">
        <f>IF(Table1[[#This Row],[Age]]&gt;=60,"Senior Citizen",IF(AND(Table1[[#This Row],[Age]]&gt;=18,Table1[[#This Row],[Age]]&lt;60),"Adult",IF(Table1[[#This Row],[Age]]&lt;18,"Child")))</f>
        <v>Senior Citizen</v>
      </c>
      <c r="L77" s="19"/>
    </row>
    <row r="78" spans="1:12" x14ac:dyDescent="0.25">
      <c r="A78" s="11" t="s">
        <v>103</v>
      </c>
      <c r="B78" s="11" t="s">
        <v>10</v>
      </c>
      <c r="C78" s="11" t="s">
        <v>23</v>
      </c>
      <c r="D78" s="11" t="s">
        <v>21</v>
      </c>
      <c r="E78" s="11" t="s">
        <v>17</v>
      </c>
      <c r="F78" s="11">
        <v>74</v>
      </c>
      <c r="G78" s="11">
        <v>19598.82</v>
      </c>
      <c r="H78" s="11">
        <v>27</v>
      </c>
      <c r="I78" s="12">
        <v>95</v>
      </c>
      <c r="J78" s="15" t="str">
        <f>IF(Table1[[#This Row],[Treatment Cost]]&gt;75000,"HIGH COST","LOW COST")</f>
        <v>LOW COST</v>
      </c>
      <c r="K78" s="15" t="str">
        <f>IF(Table1[[#This Row],[Age]]&gt;=60,"Senior Citizen",IF(AND(Table1[[#This Row],[Age]]&gt;=18,Table1[[#This Row],[Age]]&lt;60),"Adult",IF(Table1[[#This Row],[Age]]&lt;18,"Child")))</f>
        <v>Senior Citizen</v>
      </c>
      <c r="L78" s="19"/>
    </row>
    <row r="79" spans="1:12" x14ac:dyDescent="0.25">
      <c r="A79" s="11" t="s">
        <v>104</v>
      </c>
      <c r="B79" s="11" t="s">
        <v>31</v>
      </c>
      <c r="C79" s="11" t="s">
        <v>23</v>
      </c>
      <c r="D79" s="11" t="s">
        <v>26</v>
      </c>
      <c r="E79" s="11" t="s">
        <v>13</v>
      </c>
      <c r="F79" s="11">
        <v>45</v>
      </c>
      <c r="G79" s="11">
        <v>182710.63</v>
      </c>
      <c r="H79" s="11">
        <v>25</v>
      </c>
      <c r="I79" s="12">
        <v>41</v>
      </c>
      <c r="J79" s="15" t="str">
        <f>IF(Table1[[#This Row],[Treatment Cost]]&gt;75000,"HIGH COST","LOW COST")</f>
        <v>HIGH COST</v>
      </c>
      <c r="K79" s="15" t="str">
        <f>IF(Table1[[#This Row],[Age]]&gt;=60,"Senior Citizen",IF(AND(Table1[[#This Row],[Age]]&gt;=18,Table1[[#This Row],[Age]]&lt;60),"Adult",IF(Table1[[#This Row],[Age]]&lt;18,"Child")))</f>
        <v>Adult</v>
      </c>
      <c r="L79" s="19"/>
    </row>
    <row r="80" spans="1:12" x14ac:dyDescent="0.25">
      <c r="A80" s="11" t="s">
        <v>105</v>
      </c>
      <c r="B80" s="11" t="s">
        <v>36</v>
      </c>
      <c r="C80" s="11" t="s">
        <v>40</v>
      </c>
      <c r="D80" s="11" t="s">
        <v>12</v>
      </c>
      <c r="E80" s="11" t="s">
        <v>17</v>
      </c>
      <c r="F80" s="11">
        <v>81</v>
      </c>
      <c r="G80" s="11">
        <v>169352.94</v>
      </c>
      <c r="H80" s="11">
        <v>27</v>
      </c>
      <c r="I80" s="12">
        <v>64</v>
      </c>
      <c r="J80" s="15" t="str">
        <f>IF(Table1[[#This Row],[Treatment Cost]]&gt;75000,"HIGH COST","LOW COST")</f>
        <v>HIGH COST</v>
      </c>
      <c r="K80" s="15" t="str">
        <f>IF(Table1[[#This Row],[Age]]&gt;=60,"Senior Citizen",IF(AND(Table1[[#This Row],[Age]]&gt;=18,Table1[[#This Row],[Age]]&lt;60),"Adult",IF(Table1[[#This Row],[Age]]&lt;18,"Child")))</f>
        <v>Senior Citizen</v>
      </c>
      <c r="L80" s="19"/>
    </row>
    <row r="81" spans="1:12" x14ac:dyDescent="0.25">
      <c r="A81" s="11" t="s">
        <v>106</v>
      </c>
      <c r="B81" s="11" t="s">
        <v>15</v>
      </c>
      <c r="C81" s="11" t="s">
        <v>20</v>
      </c>
      <c r="D81" s="11" t="s">
        <v>16</v>
      </c>
      <c r="E81" s="11" t="s">
        <v>29</v>
      </c>
      <c r="F81" s="11">
        <v>84</v>
      </c>
      <c r="G81" s="11">
        <v>142801.03</v>
      </c>
      <c r="H81" s="11">
        <v>21</v>
      </c>
      <c r="I81" s="12">
        <v>70</v>
      </c>
      <c r="J81" s="15" t="str">
        <f>IF(Table1[[#This Row],[Treatment Cost]]&gt;75000,"HIGH COST","LOW COST")</f>
        <v>HIGH COST</v>
      </c>
      <c r="K81" s="15" t="str">
        <f>IF(Table1[[#This Row],[Age]]&gt;=60,"Senior Citizen",IF(AND(Table1[[#This Row],[Age]]&gt;=18,Table1[[#This Row],[Age]]&lt;60),"Adult",IF(Table1[[#This Row],[Age]]&lt;18,"Child")))</f>
        <v>Senior Citizen</v>
      </c>
      <c r="L81" s="19"/>
    </row>
    <row r="82" spans="1:12" x14ac:dyDescent="0.25">
      <c r="A82" s="11" t="s">
        <v>107</v>
      </c>
      <c r="B82" s="11" t="s">
        <v>10</v>
      </c>
      <c r="C82" s="11" t="s">
        <v>20</v>
      </c>
      <c r="D82" s="11" t="s">
        <v>26</v>
      </c>
      <c r="E82" s="11" t="s">
        <v>13</v>
      </c>
      <c r="F82" s="11">
        <v>87</v>
      </c>
      <c r="G82" s="11">
        <v>94897.83</v>
      </c>
      <c r="H82" s="11">
        <v>5</v>
      </c>
      <c r="I82" s="12">
        <v>100</v>
      </c>
      <c r="J82" s="15" t="str">
        <f>IF(Table1[[#This Row],[Treatment Cost]]&gt;75000,"HIGH COST","LOW COST")</f>
        <v>HIGH COST</v>
      </c>
      <c r="K82" s="15" t="str">
        <f>IF(Table1[[#This Row],[Age]]&gt;=60,"Senior Citizen",IF(AND(Table1[[#This Row],[Age]]&gt;=18,Table1[[#This Row],[Age]]&lt;60),"Adult",IF(Table1[[#This Row],[Age]]&lt;18,"Child")))</f>
        <v>Senior Citizen</v>
      </c>
      <c r="L82" s="19"/>
    </row>
    <row r="83" spans="1:12" x14ac:dyDescent="0.25">
      <c r="A83" s="11" t="s">
        <v>108</v>
      </c>
      <c r="B83" s="11" t="s">
        <v>34</v>
      </c>
      <c r="C83" s="11" t="s">
        <v>40</v>
      </c>
      <c r="D83" s="11" t="s">
        <v>12</v>
      </c>
      <c r="E83" s="11" t="s">
        <v>17</v>
      </c>
      <c r="F83" s="11">
        <v>62</v>
      </c>
      <c r="G83" s="11">
        <v>82806.399999999994</v>
      </c>
      <c r="H83" s="11">
        <v>13</v>
      </c>
      <c r="I83" s="12">
        <v>60</v>
      </c>
      <c r="J83" s="15" t="str">
        <f>IF(Table1[[#This Row],[Treatment Cost]]&gt;75000,"HIGH COST","LOW COST")</f>
        <v>HIGH COST</v>
      </c>
      <c r="K83" s="15" t="str">
        <f>IF(Table1[[#This Row],[Age]]&gt;=60,"Senior Citizen",IF(AND(Table1[[#This Row],[Age]]&gt;=18,Table1[[#This Row],[Age]]&lt;60),"Adult",IF(Table1[[#This Row],[Age]]&lt;18,"Child")))</f>
        <v>Senior Citizen</v>
      </c>
      <c r="L83" s="19"/>
    </row>
    <row r="84" spans="1:12" x14ac:dyDescent="0.25">
      <c r="A84" s="11" t="s">
        <v>109</v>
      </c>
      <c r="B84" s="11" t="s">
        <v>10</v>
      </c>
      <c r="C84" s="11" t="s">
        <v>11</v>
      </c>
      <c r="D84" s="11" t="s">
        <v>12</v>
      </c>
      <c r="E84" s="11" t="s">
        <v>13</v>
      </c>
      <c r="F84" s="11">
        <v>52</v>
      </c>
      <c r="G84" s="11">
        <v>120033.47</v>
      </c>
      <c r="H84" s="11">
        <v>21</v>
      </c>
      <c r="I84" s="12">
        <v>40</v>
      </c>
      <c r="J84" s="15" t="str">
        <f>IF(Table1[[#This Row],[Treatment Cost]]&gt;75000,"HIGH COST","LOW COST")</f>
        <v>HIGH COST</v>
      </c>
      <c r="K84" s="15" t="str">
        <f>IF(Table1[[#This Row],[Age]]&gt;=60,"Senior Citizen",IF(AND(Table1[[#This Row],[Age]]&gt;=18,Table1[[#This Row],[Age]]&lt;60),"Adult",IF(Table1[[#This Row],[Age]]&lt;18,"Child")))</f>
        <v>Adult</v>
      </c>
      <c r="L84" s="19"/>
    </row>
    <row r="85" spans="1:12" x14ac:dyDescent="0.25">
      <c r="A85" s="11" t="s">
        <v>110</v>
      </c>
      <c r="B85" s="11" t="s">
        <v>10</v>
      </c>
      <c r="C85" s="11" t="s">
        <v>11</v>
      </c>
      <c r="D85" s="11" t="s">
        <v>12</v>
      </c>
      <c r="E85" s="11" t="s">
        <v>29</v>
      </c>
      <c r="F85" s="11">
        <v>62</v>
      </c>
      <c r="G85" s="11">
        <v>184712</v>
      </c>
      <c r="H85" s="11">
        <v>20</v>
      </c>
      <c r="I85" s="12">
        <v>55</v>
      </c>
      <c r="J85" s="15" t="str">
        <f>IF(Table1[[#This Row],[Treatment Cost]]&gt;75000,"HIGH COST","LOW COST")</f>
        <v>HIGH COST</v>
      </c>
      <c r="K85" s="15" t="str">
        <f>IF(Table1[[#This Row],[Age]]&gt;=60,"Senior Citizen",IF(AND(Table1[[#This Row],[Age]]&gt;=18,Table1[[#This Row],[Age]]&lt;60),"Adult",IF(Table1[[#This Row],[Age]]&lt;18,"Child")))</f>
        <v>Senior Citizen</v>
      </c>
      <c r="L85" s="19"/>
    </row>
    <row r="86" spans="1:12" x14ac:dyDescent="0.25">
      <c r="A86" s="11" t="s">
        <v>111</v>
      </c>
      <c r="B86" s="11" t="s">
        <v>34</v>
      </c>
      <c r="C86" s="11" t="s">
        <v>23</v>
      </c>
      <c r="D86" s="11" t="s">
        <v>16</v>
      </c>
      <c r="E86" s="11" t="s">
        <v>17</v>
      </c>
      <c r="F86" s="11">
        <v>77</v>
      </c>
      <c r="G86" s="11">
        <v>118243.2</v>
      </c>
      <c r="H86" s="11">
        <v>30</v>
      </c>
      <c r="I86" s="12">
        <v>99</v>
      </c>
      <c r="J86" s="15" t="str">
        <f>IF(Table1[[#This Row],[Treatment Cost]]&gt;75000,"HIGH COST","LOW COST")</f>
        <v>HIGH COST</v>
      </c>
      <c r="K86" s="15" t="str">
        <f>IF(Table1[[#This Row],[Age]]&gt;=60,"Senior Citizen",IF(AND(Table1[[#This Row],[Age]]&gt;=18,Table1[[#This Row],[Age]]&lt;60),"Adult",IF(Table1[[#This Row],[Age]]&lt;18,"Child")))</f>
        <v>Senior Citizen</v>
      </c>
      <c r="L86" s="19"/>
    </row>
    <row r="87" spans="1:12" x14ac:dyDescent="0.25">
      <c r="A87" s="11" t="s">
        <v>112</v>
      </c>
      <c r="B87" s="11" t="s">
        <v>31</v>
      </c>
      <c r="C87" s="11" t="s">
        <v>40</v>
      </c>
      <c r="D87" s="11" t="s">
        <v>26</v>
      </c>
      <c r="E87" s="11" t="s">
        <v>17</v>
      </c>
      <c r="F87" s="11">
        <v>57</v>
      </c>
      <c r="G87" s="11">
        <v>96162.29</v>
      </c>
      <c r="H87" s="11">
        <v>1</v>
      </c>
      <c r="I87" s="12">
        <v>94</v>
      </c>
      <c r="J87" s="15" t="str">
        <f>IF(Table1[[#This Row],[Treatment Cost]]&gt;75000,"HIGH COST","LOW COST")</f>
        <v>HIGH COST</v>
      </c>
      <c r="K87" s="15" t="str">
        <f>IF(Table1[[#This Row],[Age]]&gt;=60,"Senior Citizen",IF(AND(Table1[[#This Row],[Age]]&gt;=18,Table1[[#This Row],[Age]]&lt;60),"Adult",IF(Table1[[#This Row],[Age]]&lt;18,"Child")))</f>
        <v>Adult</v>
      </c>
      <c r="L87" s="19"/>
    </row>
    <row r="88" spans="1:12" x14ac:dyDescent="0.25">
      <c r="A88" s="11" t="s">
        <v>113</v>
      </c>
      <c r="B88" s="11" t="s">
        <v>10</v>
      </c>
      <c r="C88" s="11" t="s">
        <v>40</v>
      </c>
      <c r="D88" s="11" t="s">
        <v>12</v>
      </c>
      <c r="E88" s="11" t="s">
        <v>17</v>
      </c>
      <c r="F88" s="11">
        <v>52</v>
      </c>
      <c r="G88" s="11">
        <v>3926.03</v>
      </c>
      <c r="H88" s="11">
        <v>23</v>
      </c>
      <c r="I88" s="12">
        <v>100</v>
      </c>
      <c r="J88" s="15" t="str">
        <f>IF(Table1[[#This Row],[Treatment Cost]]&gt;75000,"HIGH COST","LOW COST")</f>
        <v>LOW COST</v>
      </c>
      <c r="K88" s="15" t="str">
        <f>IF(Table1[[#This Row],[Age]]&gt;=60,"Senior Citizen",IF(AND(Table1[[#This Row],[Age]]&gt;=18,Table1[[#This Row],[Age]]&lt;60),"Adult",IF(Table1[[#This Row],[Age]]&lt;18,"Child")))</f>
        <v>Adult</v>
      </c>
      <c r="L88" s="19"/>
    </row>
    <row r="89" spans="1:12" x14ac:dyDescent="0.25">
      <c r="A89" s="11" t="s">
        <v>114</v>
      </c>
      <c r="B89" s="11" t="s">
        <v>36</v>
      </c>
      <c r="C89" s="11" t="s">
        <v>20</v>
      </c>
      <c r="D89" s="11" t="s">
        <v>21</v>
      </c>
      <c r="E89" s="11" t="s">
        <v>17</v>
      </c>
      <c r="F89" s="11">
        <v>75</v>
      </c>
      <c r="G89" s="11">
        <v>184438.24</v>
      </c>
      <c r="H89" s="11">
        <v>24</v>
      </c>
      <c r="I89" s="12">
        <v>93</v>
      </c>
      <c r="J89" s="15" t="str">
        <f>IF(Table1[[#This Row],[Treatment Cost]]&gt;75000,"HIGH COST","LOW COST")</f>
        <v>HIGH COST</v>
      </c>
      <c r="K89" s="15" t="str">
        <f>IF(Table1[[#This Row],[Age]]&gt;=60,"Senior Citizen",IF(AND(Table1[[#This Row],[Age]]&gt;=18,Table1[[#This Row],[Age]]&lt;60),"Adult",IF(Table1[[#This Row],[Age]]&lt;18,"Child")))</f>
        <v>Senior Citizen</v>
      </c>
      <c r="L89" s="19"/>
    </row>
    <row r="90" spans="1:12" x14ac:dyDescent="0.25">
      <c r="A90" s="11" t="s">
        <v>115</v>
      </c>
      <c r="B90" s="11" t="s">
        <v>15</v>
      </c>
      <c r="C90" s="11" t="s">
        <v>23</v>
      </c>
      <c r="D90" s="11" t="s">
        <v>24</v>
      </c>
      <c r="E90" s="11" t="s">
        <v>17</v>
      </c>
      <c r="F90" s="11">
        <v>65</v>
      </c>
      <c r="G90" s="11">
        <v>187255.3</v>
      </c>
      <c r="H90" s="11">
        <v>28</v>
      </c>
      <c r="I90" s="12">
        <v>90</v>
      </c>
      <c r="J90" s="15" t="str">
        <f>IF(Table1[[#This Row],[Treatment Cost]]&gt;75000,"HIGH COST","LOW COST")</f>
        <v>HIGH COST</v>
      </c>
      <c r="K90" s="15" t="str">
        <f>IF(Table1[[#This Row],[Age]]&gt;=60,"Senior Citizen",IF(AND(Table1[[#This Row],[Age]]&gt;=18,Table1[[#This Row],[Age]]&lt;60),"Adult",IF(Table1[[#This Row],[Age]]&lt;18,"Child")))</f>
        <v>Senior Citizen</v>
      </c>
      <c r="L90" s="19"/>
    </row>
    <row r="91" spans="1:12" x14ac:dyDescent="0.25">
      <c r="A91" s="11" t="s">
        <v>116</v>
      </c>
      <c r="B91" s="11" t="s">
        <v>36</v>
      </c>
      <c r="C91" s="11" t="s">
        <v>23</v>
      </c>
      <c r="D91" s="11" t="s">
        <v>16</v>
      </c>
      <c r="E91" s="11" t="s">
        <v>17</v>
      </c>
      <c r="F91" s="11">
        <v>56</v>
      </c>
      <c r="G91" s="11">
        <v>169119.61</v>
      </c>
      <c r="H91" s="11">
        <v>6</v>
      </c>
      <c r="I91" s="12">
        <v>59</v>
      </c>
      <c r="J91" s="15" t="str">
        <f>IF(Table1[[#This Row],[Treatment Cost]]&gt;75000,"HIGH COST","LOW COST")</f>
        <v>HIGH COST</v>
      </c>
      <c r="K91" s="15" t="str">
        <f>IF(Table1[[#This Row],[Age]]&gt;=60,"Senior Citizen",IF(AND(Table1[[#This Row],[Age]]&gt;=18,Table1[[#This Row],[Age]]&lt;60),"Adult",IF(Table1[[#This Row],[Age]]&lt;18,"Child")))</f>
        <v>Adult</v>
      </c>
      <c r="L91" s="19"/>
    </row>
    <row r="92" spans="1:12" x14ac:dyDescent="0.25">
      <c r="A92" s="11" t="s">
        <v>117</v>
      </c>
      <c r="B92" s="11" t="s">
        <v>36</v>
      </c>
      <c r="C92" s="11" t="s">
        <v>40</v>
      </c>
      <c r="D92" s="11" t="s">
        <v>16</v>
      </c>
      <c r="E92" s="11" t="s">
        <v>13</v>
      </c>
      <c r="F92" s="11">
        <v>89</v>
      </c>
      <c r="G92" s="11">
        <v>107499.28</v>
      </c>
      <c r="H92" s="11">
        <v>11</v>
      </c>
      <c r="I92" s="12">
        <v>63</v>
      </c>
      <c r="J92" s="15" t="str">
        <f>IF(Table1[[#This Row],[Treatment Cost]]&gt;75000,"HIGH COST","LOW COST")</f>
        <v>HIGH COST</v>
      </c>
      <c r="K92" s="15" t="str">
        <f>IF(Table1[[#This Row],[Age]]&gt;=60,"Senior Citizen",IF(AND(Table1[[#This Row],[Age]]&gt;=18,Table1[[#This Row],[Age]]&lt;60),"Adult",IF(Table1[[#This Row],[Age]]&lt;18,"Child")))</f>
        <v>Senior Citizen</v>
      </c>
      <c r="L92" s="19"/>
    </row>
    <row r="93" spans="1:12" x14ac:dyDescent="0.25">
      <c r="A93" s="11" t="s">
        <v>118</v>
      </c>
      <c r="B93" s="11" t="s">
        <v>19</v>
      </c>
      <c r="C93" s="11" t="s">
        <v>11</v>
      </c>
      <c r="D93" s="11" t="s">
        <v>16</v>
      </c>
      <c r="E93" s="11" t="s">
        <v>29</v>
      </c>
      <c r="F93" s="11">
        <v>83</v>
      </c>
      <c r="G93" s="11">
        <v>154395.60999999999</v>
      </c>
      <c r="H93" s="11">
        <v>21</v>
      </c>
      <c r="I93" s="12">
        <v>69</v>
      </c>
      <c r="J93" s="15" t="str">
        <f>IF(Table1[[#This Row],[Treatment Cost]]&gt;75000,"HIGH COST","LOW COST")</f>
        <v>HIGH COST</v>
      </c>
      <c r="K93" s="15" t="str">
        <f>IF(Table1[[#This Row],[Age]]&gt;=60,"Senior Citizen",IF(AND(Table1[[#This Row],[Age]]&gt;=18,Table1[[#This Row],[Age]]&lt;60),"Adult",IF(Table1[[#This Row],[Age]]&lt;18,"Child")))</f>
        <v>Senior Citizen</v>
      </c>
      <c r="L93" s="19"/>
    </row>
    <row r="94" spans="1:12" x14ac:dyDescent="0.25">
      <c r="A94" s="11" t="s">
        <v>119</v>
      </c>
      <c r="B94" s="11" t="s">
        <v>19</v>
      </c>
      <c r="C94" s="11" t="s">
        <v>40</v>
      </c>
      <c r="D94" s="11" t="s">
        <v>24</v>
      </c>
      <c r="E94" s="11" t="s">
        <v>17</v>
      </c>
      <c r="F94" s="11">
        <v>29</v>
      </c>
      <c r="G94" s="11">
        <v>181388.33</v>
      </c>
      <c r="H94" s="11">
        <v>19</v>
      </c>
      <c r="I94" s="12">
        <v>99</v>
      </c>
      <c r="J94" s="15" t="str">
        <f>IF(Table1[[#This Row],[Treatment Cost]]&gt;75000,"HIGH COST","LOW COST")</f>
        <v>HIGH COST</v>
      </c>
      <c r="K94" s="15" t="str">
        <f>IF(Table1[[#This Row],[Age]]&gt;=60,"Senior Citizen",IF(AND(Table1[[#This Row],[Age]]&gt;=18,Table1[[#This Row],[Age]]&lt;60),"Adult",IF(Table1[[#This Row],[Age]]&lt;18,"Child")))</f>
        <v>Adult</v>
      </c>
      <c r="L94" s="19"/>
    </row>
    <row r="95" spans="1:12" x14ac:dyDescent="0.25">
      <c r="A95" s="11" t="s">
        <v>120</v>
      </c>
      <c r="B95" s="11" t="s">
        <v>34</v>
      </c>
      <c r="C95" s="11" t="s">
        <v>23</v>
      </c>
      <c r="D95" s="11" t="s">
        <v>16</v>
      </c>
      <c r="E95" s="11" t="s">
        <v>17</v>
      </c>
      <c r="F95" s="11">
        <v>65</v>
      </c>
      <c r="G95" s="11">
        <v>129269.31</v>
      </c>
      <c r="H95" s="11">
        <v>26</v>
      </c>
      <c r="I95" s="12">
        <v>60</v>
      </c>
      <c r="J95" s="15" t="str">
        <f>IF(Table1[[#This Row],[Treatment Cost]]&gt;75000,"HIGH COST","LOW COST")</f>
        <v>HIGH COST</v>
      </c>
      <c r="K95" s="15" t="str">
        <f>IF(Table1[[#This Row],[Age]]&gt;=60,"Senior Citizen",IF(AND(Table1[[#This Row],[Age]]&gt;=18,Table1[[#This Row],[Age]]&lt;60),"Adult",IF(Table1[[#This Row],[Age]]&lt;18,"Child")))</f>
        <v>Senior Citizen</v>
      </c>
      <c r="L95" s="19"/>
    </row>
    <row r="96" spans="1:12" x14ac:dyDescent="0.25">
      <c r="A96" s="11" t="s">
        <v>121</v>
      </c>
      <c r="B96" s="11" t="s">
        <v>15</v>
      </c>
      <c r="C96" s="11" t="s">
        <v>11</v>
      </c>
      <c r="D96" s="11" t="s">
        <v>24</v>
      </c>
      <c r="E96" s="11" t="s">
        <v>29</v>
      </c>
      <c r="F96" s="11">
        <v>81</v>
      </c>
      <c r="G96" s="11">
        <v>80069.45</v>
      </c>
      <c r="H96" s="11">
        <v>23</v>
      </c>
      <c r="I96" s="12">
        <v>76</v>
      </c>
      <c r="J96" s="15" t="str">
        <f>IF(Table1[[#This Row],[Treatment Cost]]&gt;75000,"HIGH COST","LOW COST")</f>
        <v>HIGH COST</v>
      </c>
      <c r="K96" s="15" t="str">
        <f>IF(Table1[[#This Row],[Age]]&gt;=60,"Senior Citizen",IF(AND(Table1[[#This Row],[Age]]&gt;=18,Table1[[#This Row],[Age]]&lt;60),"Adult",IF(Table1[[#This Row],[Age]]&lt;18,"Child")))</f>
        <v>Senior Citizen</v>
      </c>
      <c r="L96" s="19"/>
    </row>
    <row r="97" spans="1:12" x14ac:dyDescent="0.25">
      <c r="A97" s="11" t="s">
        <v>122</v>
      </c>
      <c r="B97" s="11" t="s">
        <v>34</v>
      </c>
      <c r="C97" s="11" t="s">
        <v>40</v>
      </c>
      <c r="D97" s="11" t="s">
        <v>21</v>
      </c>
      <c r="E97" s="11" t="s">
        <v>29</v>
      </c>
      <c r="F97" s="11">
        <v>41</v>
      </c>
      <c r="G97" s="11">
        <v>170185.85</v>
      </c>
      <c r="H97" s="11">
        <v>26</v>
      </c>
      <c r="I97" s="12">
        <v>47</v>
      </c>
      <c r="J97" s="15" t="str">
        <f>IF(Table1[[#This Row],[Treatment Cost]]&gt;75000,"HIGH COST","LOW COST")</f>
        <v>HIGH COST</v>
      </c>
      <c r="K97" s="15" t="str">
        <f>IF(Table1[[#This Row],[Age]]&gt;=60,"Senior Citizen",IF(AND(Table1[[#This Row],[Age]]&gt;=18,Table1[[#This Row],[Age]]&lt;60),"Adult",IF(Table1[[#This Row],[Age]]&lt;18,"Child")))</f>
        <v>Adult</v>
      </c>
      <c r="L97" s="19"/>
    </row>
    <row r="98" spans="1:12" x14ac:dyDescent="0.25">
      <c r="A98" s="11" t="s">
        <v>123</v>
      </c>
      <c r="B98" s="11" t="s">
        <v>19</v>
      </c>
      <c r="C98" s="11" t="s">
        <v>20</v>
      </c>
      <c r="D98" s="11" t="s">
        <v>16</v>
      </c>
      <c r="E98" s="11" t="s">
        <v>29</v>
      </c>
      <c r="F98" s="11">
        <v>9</v>
      </c>
      <c r="G98" s="11">
        <v>67852.27</v>
      </c>
      <c r="H98" s="11">
        <v>10</v>
      </c>
      <c r="I98" s="12">
        <v>56</v>
      </c>
      <c r="J98" s="15" t="str">
        <f>IF(Table1[[#This Row],[Treatment Cost]]&gt;75000,"HIGH COST","LOW COST")</f>
        <v>LOW COST</v>
      </c>
      <c r="K98" s="15" t="str">
        <f>IF(Table1[[#This Row],[Age]]&gt;=60,"Senior Citizen",IF(AND(Table1[[#This Row],[Age]]&gt;=18,Table1[[#This Row],[Age]]&lt;60),"Adult",IF(Table1[[#This Row],[Age]]&lt;18,"Child")))</f>
        <v>Child</v>
      </c>
      <c r="L98" s="19"/>
    </row>
    <row r="99" spans="1:12" x14ac:dyDescent="0.25">
      <c r="A99" s="11" t="s">
        <v>124</v>
      </c>
      <c r="B99" s="11" t="s">
        <v>31</v>
      </c>
      <c r="C99" s="11" t="s">
        <v>11</v>
      </c>
      <c r="D99" s="11" t="s">
        <v>21</v>
      </c>
      <c r="E99" s="11" t="s">
        <v>13</v>
      </c>
      <c r="F99" s="11">
        <v>2</v>
      </c>
      <c r="G99" s="11">
        <v>179245.98</v>
      </c>
      <c r="H99" s="11">
        <v>26</v>
      </c>
      <c r="I99" s="12">
        <v>69</v>
      </c>
      <c r="J99" s="15" t="str">
        <f>IF(Table1[[#This Row],[Treatment Cost]]&gt;75000,"HIGH COST","LOW COST")</f>
        <v>HIGH COST</v>
      </c>
      <c r="K99" s="15" t="str">
        <f>IF(Table1[[#This Row],[Age]]&gt;=60,"Senior Citizen",IF(AND(Table1[[#This Row],[Age]]&gt;=18,Table1[[#This Row],[Age]]&lt;60),"Adult",IF(Table1[[#This Row],[Age]]&lt;18,"Child")))</f>
        <v>Child</v>
      </c>
      <c r="L99" s="19"/>
    </row>
    <row r="100" spans="1:12" x14ac:dyDescent="0.25">
      <c r="A100" s="11" t="s">
        <v>125</v>
      </c>
      <c r="B100" s="11" t="s">
        <v>31</v>
      </c>
      <c r="C100" s="11" t="s">
        <v>20</v>
      </c>
      <c r="D100" s="11" t="s">
        <v>26</v>
      </c>
      <c r="E100" s="11" t="s">
        <v>13</v>
      </c>
      <c r="F100" s="11">
        <v>64</v>
      </c>
      <c r="G100" s="11">
        <v>133475.6</v>
      </c>
      <c r="H100" s="11">
        <v>24</v>
      </c>
      <c r="I100" s="12">
        <v>69</v>
      </c>
      <c r="J100" s="15" t="str">
        <f>IF(Table1[[#This Row],[Treatment Cost]]&gt;75000,"HIGH COST","LOW COST")</f>
        <v>HIGH COST</v>
      </c>
      <c r="K100" s="15" t="str">
        <f>IF(Table1[[#This Row],[Age]]&gt;=60,"Senior Citizen",IF(AND(Table1[[#This Row],[Age]]&gt;=18,Table1[[#This Row],[Age]]&lt;60),"Adult",IF(Table1[[#This Row],[Age]]&lt;18,"Child")))</f>
        <v>Senior Citizen</v>
      </c>
      <c r="L100" s="19"/>
    </row>
    <row r="101" spans="1:12" x14ac:dyDescent="0.25">
      <c r="A101" s="11" t="s">
        <v>126</v>
      </c>
      <c r="B101" s="11" t="s">
        <v>10</v>
      </c>
      <c r="C101" s="11" t="s">
        <v>23</v>
      </c>
      <c r="D101" s="11" t="s">
        <v>21</v>
      </c>
      <c r="E101" s="11" t="s">
        <v>13</v>
      </c>
      <c r="F101" s="11">
        <v>80</v>
      </c>
      <c r="G101" s="11">
        <v>85551.05</v>
      </c>
      <c r="H101" s="11">
        <v>24</v>
      </c>
      <c r="I101" s="12">
        <v>99</v>
      </c>
      <c r="J101" s="15" t="str">
        <f>IF(Table1[[#This Row],[Treatment Cost]]&gt;75000,"HIGH COST","LOW COST")</f>
        <v>HIGH COST</v>
      </c>
      <c r="K101" s="15" t="str">
        <f>IF(Table1[[#This Row],[Age]]&gt;=60,"Senior Citizen",IF(AND(Table1[[#This Row],[Age]]&gt;=18,Table1[[#This Row],[Age]]&lt;60),"Adult",IF(Table1[[#This Row],[Age]]&lt;18,"Child")))</f>
        <v>Senior Citizen</v>
      </c>
      <c r="L101" s="19"/>
    </row>
    <row r="102" spans="1:12" x14ac:dyDescent="0.25">
      <c r="A102" s="11" t="s">
        <v>127</v>
      </c>
      <c r="B102" s="11" t="s">
        <v>10</v>
      </c>
      <c r="C102" s="11" t="s">
        <v>20</v>
      </c>
      <c r="D102" s="11" t="s">
        <v>26</v>
      </c>
      <c r="E102" s="11" t="s">
        <v>13</v>
      </c>
      <c r="F102" s="11">
        <v>34</v>
      </c>
      <c r="G102" s="11">
        <v>89194.25</v>
      </c>
      <c r="H102" s="11">
        <v>16</v>
      </c>
      <c r="I102" s="12">
        <v>69</v>
      </c>
      <c r="J102" s="15" t="str">
        <f>IF(Table1[[#This Row],[Treatment Cost]]&gt;75000,"HIGH COST","LOW COST")</f>
        <v>HIGH COST</v>
      </c>
      <c r="K102" s="15" t="str">
        <f>IF(Table1[[#This Row],[Age]]&gt;=60,"Senior Citizen",IF(AND(Table1[[#This Row],[Age]]&gt;=18,Table1[[#This Row],[Age]]&lt;60),"Adult",IF(Table1[[#This Row],[Age]]&lt;18,"Child")))</f>
        <v>Adult</v>
      </c>
      <c r="L102" s="19"/>
    </row>
    <row r="103" spans="1:12" x14ac:dyDescent="0.25">
      <c r="A103" s="11" t="s">
        <v>128</v>
      </c>
      <c r="B103" s="11" t="s">
        <v>36</v>
      </c>
      <c r="C103" s="11" t="s">
        <v>20</v>
      </c>
      <c r="D103" s="11" t="s">
        <v>12</v>
      </c>
      <c r="E103" s="11" t="s">
        <v>13</v>
      </c>
      <c r="F103" s="11">
        <v>21</v>
      </c>
      <c r="G103" s="11">
        <v>145196.78</v>
      </c>
      <c r="H103" s="11">
        <v>17</v>
      </c>
      <c r="I103" s="12">
        <v>84</v>
      </c>
      <c r="J103" s="15" t="str">
        <f>IF(Table1[[#This Row],[Treatment Cost]]&gt;75000,"HIGH COST","LOW COST")</f>
        <v>HIGH COST</v>
      </c>
      <c r="K103" s="15" t="str">
        <f>IF(Table1[[#This Row],[Age]]&gt;=60,"Senior Citizen",IF(AND(Table1[[#This Row],[Age]]&gt;=18,Table1[[#This Row],[Age]]&lt;60),"Adult",IF(Table1[[#This Row],[Age]]&lt;18,"Child")))</f>
        <v>Adult</v>
      </c>
      <c r="L103" s="19"/>
    </row>
    <row r="104" spans="1:12" x14ac:dyDescent="0.25">
      <c r="A104" s="11" t="s">
        <v>129</v>
      </c>
      <c r="B104" s="11" t="s">
        <v>31</v>
      </c>
      <c r="C104" s="11" t="s">
        <v>20</v>
      </c>
      <c r="D104" s="11" t="s">
        <v>24</v>
      </c>
      <c r="E104" s="11" t="s">
        <v>17</v>
      </c>
      <c r="F104" s="11">
        <v>55</v>
      </c>
      <c r="G104" s="11">
        <v>124626.18</v>
      </c>
      <c r="H104" s="11">
        <v>21</v>
      </c>
      <c r="I104" s="12">
        <v>87</v>
      </c>
      <c r="J104" s="15" t="str">
        <f>IF(Table1[[#This Row],[Treatment Cost]]&gt;75000,"HIGH COST","LOW COST")</f>
        <v>HIGH COST</v>
      </c>
      <c r="K104" s="15" t="str">
        <f>IF(Table1[[#This Row],[Age]]&gt;=60,"Senior Citizen",IF(AND(Table1[[#This Row],[Age]]&gt;=18,Table1[[#This Row],[Age]]&lt;60),"Adult",IF(Table1[[#This Row],[Age]]&lt;18,"Child")))</f>
        <v>Adult</v>
      </c>
      <c r="L104" s="19"/>
    </row>
    <row r="105" spans="1:12" x14ac:dyDescent="0.25">
      <c r="A105" s="11" t="s">
        <v>130</v>
      </c>
      <c r="B105" s="11" t="s">
        <v>31</v>
      </c>
      <c r="C105" s="11" t="s">
        <v>40</v>
      </c>
      <c r="D105" s="11" t="s">
        <v>24</v>
      </c>
      <c r="E105" s="11" t="s">
        <v>17</v>
      </c>
      <c r="F105" s="11">
        <v>7</v>
      </c>
      <c r="G105" s="11">
        <v>127179.51</v>
      </c>
      <c r="H105" s="11">
        <v>1</v>
      </c>
      <c r="I105" s="12">
        <v>40</v>
      </c>
      <c r="J105" s="15" t="str">
        <f>IF(Table1[[#This Row],[Treatment Cost]]&gt;75000,"HIGH COST","LOW COST")</f>
        <v>HIGH COST</v>
      </c>
      <c r="K105" s="15" t="str">
        <f>IF(Table1[[#This Row],[Age]]&gt;=60,"Senior Citizen",IF(AND(Table1[[#This Row],[Age]]&gt;=18,Table1[[#This Row],[Age]]&lt;60),"Adult",IF(Table1[[#This Row],[Age]]&lt;18,"Child")))</f>
        <v>Child</v>
      </c>
      <c r="L105" s="19"/>
    </row>
    <row r="106" spans="1:12" x14ac:dyDescent="0.25">
      <c r="A106" s="11" t="s">
        <v>131</v>
      </c>
      <c r="B106" s="11" t="s">
        <v>34</v>
      </c>
      <c r="C106" s="11" t="s">
        <v>11</v>
      </c>
      <c r="D106" s="11" t="s">
        <v>21</v>
      </c>
      <c r="E106" s="11" t="s">
        <v>17</v>
      </c>
      <c r="F106" s="11">
        <v>12</v>
      </c>
      <c r="G106" s="11">
        <v>40948.97</v>
      </c>
      <c r="H106" s="11">
        <v>26</v>
      </c>
      <c r="I106" s="12">
        <v>92</v>
      </c>
      <c r="J106" s="15" t="str">
        <f>IF(Table1[[#This Row],[Treatment Cost]]&gt;75000,"HIGH COST","LOW COST")</f>
        <v>LOW COST</v>
      </c>
      <c r="K106" s="15" t="str">
        <f>IF(Table1[[#This Row],[Age]]&gt;=60,"Senior Citizen",IF(AND(Table1[[#This Row],[Age]]&gt;=18,Table1[[#This Row],[Age]]&lt;60),"Adult",IF(Table1[[#This Row],[Age]]&lt;18,"Child")))</f>
        <v>Child</v>
      </c>
      <c r="L106" s="19"/>
    </row>
    <row r="107" spans="1:12" x14ac:dyDescent="0.25">
      <c r="A107" s="11" t="s">
        <v>132</v>
      </c>
      <c r="B107" s="11" t="s">
        <v>34</v>
      </c>
      <c r="C107" s="11" t="s">
        <v>11</v>
      </c>
      <c r="D107" s="11" t="s">
        <v>26</v>
      </c>
      <c r="E107" s="11" t="s">
        <v>17</v>
      </c>
      <c r="F107" s="11">
        <v>44</v>
      </c>
      <c r="G107" s="11">
        <v>168565.89</v>
      </c>
      <c r="H107" s="11">
        <v>27</v>
      </c>
      <c r="I107" s="12">
        <v>41</v>
      </c>
      <c r="J107" s="15" t="str">
        <f>IF(Table1[[#This Row],[Treatment Cost]]&gt;75000,"HIGH COST","LOW COST")</f>
        <v>HIGH COST</v>
      </c>
      <c r="K107" s="15" t="str">
        <f>IF(Table1[[#This Row],[Age]]&gt;=60,"Senior Citizen",IF(AND(Table1[[#This Row],[Age]]&gt;=18,Table1[[#This Row],[Age]]&lt;60),"Adult",IF(Table1[[#This Row],[Age]]&lt;18,"Child")))</f>
        <v>Adult</v>
      </c>
      <c r="L107" s="19"/>
    </row>
    <row r="108" spans="1:12" x14ac:dyDescent="0.25">
      <c r="A108" s="11" t="s">
        <v>133</v>
      </c>
      <c r="B108" s="11" t="s">
        <v>31</v>
      </c>
      <c r="C108" s="11" t="s">
        <v>40</v>
      </c>
      <c r="D108" s="11" t="s">
        <v>16</v>
      </c>
      <c r="E108" s="11" t="s">
        <v>29</v>
      </c>
      <c r="F108" s="11">
        <v>60</v>
      </c>
      <c r="G108" s="11">
        <v>57461.93</v>
      </c>
      <c r="H108" s="11">
        <v>17</v>
      </c>
      <c r="I108" s="12">
        <v>72</v>
      </c>
      <c r="J108" s="15" t="str">
        <f>IF(Table1[[#This Row],[Treatment Cost]]&gt;75000,"HIGH COST","LOW COST")</f>
        <v>LOW COST</v>
      </c>
      <c r="K108" s="15" t="str">
        <f>IF(Table1[[#This Row],[Age]]&gt;=60,"Senior Citizen",IF(AND(Table1[[#This Row],[Age]]&gt;=18,Table1[[#This Row],[Age]]&lt;60),"Adult",IF(Table1[[#This Row],[Age]]&lt;18,"Child")))</f>
        <v>Senior Citizen</v>
      </c>
      <c r="L108" s="19"/>
    </row>
    <row r="109" spans="1:12" x14ac:dyDescent="0.25">
      <c r="A109" s="11" t="s">
        <v>134</v>
      </c>
      <c r="B109" s="11" t="s">
        <v>19</v>
      </c>
      <c r="C109" s="11" t="s">
        <v>23</v>
      </c>
      <c r="D109" s="11" t="s">
        <v>26</v>
      </c>
      <c r="E109" s="11" t="s">
        <v>13</v>
      </c>
      <c r="F109" s="11">
        <v>17</v>
      </c>
      <c r="G109" s="11">
        <v>177781.26</v>
      </c>
      <c r="H109" s="11">
        <v>18</v>
      </c>
      <c r="I109" s="12">
        <v>62</v>
      </c>
      <c r="J109" s="15" t="str">
        <f>IF(Table1[[#This Row],[Treatment Cost]]&gt;75000,"HIGH COST","LOW COST")</f>
        <v>HIGH COST</v>
      </c>
      <c r="K109" s="15" t="str">
        <f>IF(Table1[[#This Row],[Age]]&gt;=60,"Senior Citizen",IF(AND(Table1[[#This Row],[Age]]&gt;=18,Table1[[#This Row],[Age]]&lt;60),"Adult",IF(Table1[[#This Row],[Age]]&lt;18,"Child")))</f>
        <v>Child</v>
      </c>
      <c r="L109" s="19"/>
    </row>
    <row r="110" spans="1:12" x14ac:dyDescent="0.25">
      <c r="A110" s="11" t="s">
        <v>135</v>
      </c>
      <c r="B110" s="11" t="s">
        <v>36</v>
      </c>
      <c r="C110" s="11" t="s">
        <v>40</v>
      </c>
      <c r="D110" s="11" t="s">
        <v>26</v>
      </c>
      <c r="E110" s="11" t="s">
        <v>17</v>
      </c>
      <c r="F110" s="11">
        <v>22</v>
      </c>
      <c r="G110" s="11">
        <v>187260.87</v>
      </c>
      <c r="H110" s="11">
        <v>27</v>
      </c>
      <c r="I110" s="12">
        <v>43</v>
      </c>
      <c r="J110" s="15" t="str">
        <f>IF(Table1[[#This Row],[Treatment Cost]]&gt;75000,"HIGH COST","LOW COST")</f>
        <v>HIGH COST</v>
      </c>
      <c r="K110" s="15" t="str">
        <f>IF(Table1[[#This Row],[Age]]&gt;=60,"Senior Citizen",IF(AND(Table1[[#This Row],[Age]]&gt;=18,Table1[[#This Row],[Age]]&lt;60),"Adult",IF(Table1[[#This Row],[Age]]&lt;18,"Child")))</f>
        <v>Adult</v>
      </c>
      <c r="L110" s="19"/>
    </row>
    <row r="111" spans="1:12" x14ac:dyDescent="0.25">
      <c r="A111" s="11" t="s">
        <v>136</v>
      </c>
      <c r="B111" s="11" t="s">
        <v>31</v>
      </c>
      <c r="C111" s="11" t="s">
        <v>40</v>
      </c>
      <c r="D111" s="11" t="s">
        <v>21</v>
      </c>
      <c r="E111" s="11" t="s">
        <v>13</v>
      </c>
      <c r="F111" s="11">
        <v>21</v>
      </c>
      <c r="G111" s="11">
        <v>6108.57</v>
      </c>
      <c r="H111" s="11">
        <v>1</v>
      </c>
      <c r="I111" s="12">
        <v>50</v>
      </c>
      <c r="J111" s="15" t="str">
        <f>IF(Table1[[#This Row],[Treatment Cost]]&gt;75000,"HIGH COST","LOW COST")</f>
        <v>LOW COST</v>
      </c>
      <c r="K111" s="15" t="str">
        <f>IF(Table1[[#This Row],[Age]]&gt;=60,"Senior Citizen",IF(AND(Table1[[#This Row],[Age]]&gt;=18,Table1[[#This Row],[Age]]&lt;60),"Adult",IF(Table1[[#This Row],[Age]]&lt;18,"Child")))</f>
        <v>Adult</v>
      </c>
      <c r="L111" s="19"/>
    </row>
    <row r="112" spans="1:12" x14ac:dyDescent="0.25">
      <c r="A112" s="11" t="s">
        <v>137</v>
      </c>
      <c r="B112" s="11" t="s">
        <v>10</v>
      </c>
      <c r="C112" s="11" t="s">
        <v>20</v>
      </c>
      <c r="D112" s="11" t="s">
        <v>16</v>
      </c>
      <c r="E112" s="11" t="s">
        <v>29</v>
      </c>
      <c r="F112" s="11">
        <v>51</v>
      </c>
      <c r="G112" s="11">
        <v>67294.53</v>
      </c>
      <c r="H112" s="11">
        <v>26</v>
      </c>
      <c r="I112" s="12">
        <v>86</v>
      </c>
      <c r="J112" s="15" t="str">
        <f>IF(Table1[[#This Row],[Treatment Cost]]&gt;75000,"HIGH COST","LOW COST")</f>
        <v>LOW COST</v>
      </c>
      <c r="K112" s="15" t="str">
        <f>IF(Table1[[#This Row],[Age]]&gt;=60,"Senior Citizen",IF(AND(Table1[[#This Row],[Age]]&gt;=18,Table1[[#This Row],[Age]]&lt;60),"Adult",IF(Table1[[#This Row],[Age]]&lt;18,"Child")))</f>
        <v>Adult</v>
      </c>
      <c r="L112" s="19"/>
    </row>
    <row r="113" spans="1:12" x14ac:dyDescent="0.25">
      <c r="A113" s="11" t="s">
        <v>138</v>
      </c>
      <c r="B113" s="11" t="s">
        <v>31</v>
      </c>
      <c r="C113" s="11" t="s">
        <v>23</v>
      </c>
      <c r="D113" s="11" t="s">
        <v>21</v>
      </c>
      <c r="E113" s="11" t="s">
        <v>17</v>
      </c>
      <c r="F113" s="11">
        <v>84</v>
      </c>
      <c r="G113" s="11">
        <v>53760.55</v>
      </c>
      <c r="H113" s="11">
        <v>27</v>
      </c>
      <c r="I113" s="12">
        <v>53</v>
      </c>
      <c r="J113" s="15" t="str">
        <f>IF(Table1[[#This Row],[Treatment Cost]]&gt;75000,"HIGH COST","LOW COST")</f>
        <v>LOW COST</v>
      </c>
      <c r="K113" s="15" t="str">
        <f>IF(Table1[[#This Row],[Age]]&gt;=60,"Senior Citizen",IF(AND(Table1[[#This Row],[Age]]&gt;=18,Table1[[#This Row],[Age]]&lt;60),"Adult",IF(Table1[[#This Row],[Age]]&lt;18,"Child")))</f>
        <v>Senior Citizen</v>
      </c>
      <c r="L113" s="19"/>
    </row>
    <row r="114" spans="1:12" x14ac:dyDescent="0.25">
      <c r="A114" s="11" t="s">
        <v>139</v>
      </c>
      <c r="B114" s="11" t="s">
        <v>19</v>
      </c>
      <c r="C114" s="11" t="s">
        <v>40</v>
      </c>
      <c r="D114" s="11" t="s">
        <v>16</v>
      </c>
      <c r="E114" s="11" t="s">
        <v>29</v>
      </c>
      <c r="F114" s="11">
        <v>77</v>
      </c>
      <c r="G114" s="11">
        <v>77017.679999999993</v>
      </c>
      <c r="H114" s="11">
        <v>8</v>
      </c>
      <c r="I114" s="12">
        <v>61</v>
      </c>
      <c r="J114" s="15" t="str">
        <f>IF(Table1[[#This Row],[Treatment Cost]]&gt;75000,"HIGH COST","LOW COST")</f>
        <v>HIGH COST</v>
      </c>
      <c r="K114" s="15" t="str">
        <f>IF(Table1[[#This Row],[Age]]&gt;=60,"Senior Citizen",IF(AND(Table1[[#This Row],[Age]]&gt;=18,Table1[[#This Row],[Age]]&lt;60),"Adult",IF(Table1[[#This Row],[Age]]&lt;18,"Child")))</f>
        <v>Senior Citizen</v>
      </c>
      <c r="L114" s="19"/>
    </row>
    <row r="115" spans="1:12" x14ac:dyDescent="0.25">
      <c r="A115" s="11" t="s">
        <v>140</v>
      </c>
      <c r="B115" s="11" t="s">
        <v>36</v>
      </c>
      <c r="C115" s="11" t="s">
        <v>40</v>
      </c>
      <c r="D115" s="11" t="s">
        <v>24</v>
      </c>
      <c r="E115" s="11" t="s">
        <v>13</v>
      </c>
      <c r="F115" s="11">
        <v>37</v>
      </c>
      <c r="G115" s="11">
        <v>98340.86</v>
      </c>
      <c r="H115" s="11">
        <v>17</v>
      </c>
      <c r="I115" s="12">
        <v>63</v>
      </c>
      <c r="J115" s="15" t="str">
        <f>IF(Table1[[#This Row],[Treatment Cost]]&gt;75000,"HIGH COST","LOW COST")</f>
        <v>HIGH COST</v>
      </c>
      <c r="K115" s="15" t="str">
        <f>IF(Table1[[#This Row],[Age]]&gt;=60,"Senior Citizen",IF(AND(Table1[[#This Row],[Age]]&gt;=18,Table1[[#This Row],[Age]]&lt;60),"Adult",IF(Table1[[#This Row],[Age]]&lt;18,"Child")))</f>
        <v>Adult</v>
      </c>
      <c r="L115" s="19"/>
    </row>
    <row r="116" spans="1:12" x14ac:dyDescent="0.25">
      <c r="A116" s="11" t="s">
        <v>141</v>
      </c>
      <c r="B116" s="11" t="s">
        <v>31</v>
      </c>
      <c r="C116" s="11" t="s">
        <v>20</v>
      </c>
      <c r="D116" s="11" t="s">
        <v>24</v>
      </c>
      <c r="E116" s="11" t="s">
        <v>29</v>
      </c>
      <c r="F116" s="11">
        <v>14</v>
      </c>
      <c r="G116" s="11">
        <v>85215.46</v>
      </c>
      <c r="H116" s="11">
        <v>1</v>
      </c>
      <c r="I116" s="12">
        <v>85</v>
      </c>
      <c r="J116" s="15" t="str">
        <f>IF(Table1[[#This Row],[Treatment Cost]]&gt;75000,"HIGH COST","LOW COST")</f>
        <v>HIGH COST</v>
      </c>
      <c r="K116" s="15" t="str">
        <f>IF(Table1[[#This Row],[Age]]&gt;=60,"Senior Citizen",IF(AND(Table1[[#This Row],[Age]]&gt;=18,Table1[[#This Row],[Age]]&lt;60),"Adult",IF(Table1[[#This Row],[Age]]&lt;18,"Child")))</f>
        <v>Child</v>
      </c>
      <c r="L116" s="19"/>
    </row>
    <row r="117" spans="1:12" x14ac:dyDescent="0.25">
      <c r="A117" s="11" t="s">
        <v>142</v>
      </c>
      <c r="B117" s="11" t="s">
        <v>15</v>
      </c>
      <c r="C117" s="11" t="s">
        <v>23</v>
      </c>
      <c r="D117" s="11" t="s">
        <v>26</v>
      </c>
      <c r="E117" s="11" t="s">
        <v>29</v>
      </c>
      <c r="F117" s="11">
        <v>4</v>
      </c>
      <c r="G117" s="11">
        <v>43531.31</v>
      </c>
      <c r="H117" s="11">
        <v>16</v>
      </c>
      <c r="I117" s="12">
        <v>91</v>
      </c>
      <c r="J117" s="15" t="str">
        <f>IF(Table1[[#This Row],[Treatment Cost]]&gt;75000,"HIGH COST","LOW COST")</f>
        <v>LOW COST</v>
      </c>
      <c r="K117" s="15" t="str">
        <f>IF(Table1[[#This Row],[Age]]&gt;=60,"Senior Citizen",IF(AND(Table1[[#This Row],[Age]]&gt;=18,Table1[[#This Row],[Age]]&lt;60),"Adult",IF(Table1[[#This Row],[Age]]&lt;18,"Child")))</f>
        <v>Child</v>
      </c>
      <c r="L117" s="19"/>
    </row>
    <row r="118" spans="1:12" x14ac:dyDescent="0.25">
      <c r="A118" s="11" t="s">
        <v>143</v>
      </c>
      <c r="B118" s="11" t="s">
        <v>19</v>
      </c>
      <c r="C118" s="11" t="s">
        <v>23</v>
      </c>
      <c r="D118" s="11" t="s">
        <v>21</v>
      </c>
      <c r="E118" s="11" t="s">
        <v>17</v>
      </c>
      <c r="F118" s="11">
        <v>57</v>
      </c>
      <c r="G118" s="11">
        <v>45940.98</v>
      </c>
      <c r="H118" s="11">
        <v>24</v>
      </c>
      <c r="I118" s="12">
        <v>94</v>
      </c>
      <c r="J118" s="15" t="str">
        <f>IF(Table1[[#This Row],[Treatment Cost]]&gt;75000,"HIGH COST","LOW COST")</f>
        <v>LOW COST</v>
      </c>
      <c r="K118" s="15" t="str">
        <f>IF(Table1[[#This Row],[Age]]&gt;=60,"Senior Citizen",IF(AND(Table1[[#This Row],[Age]]&gt;=18,Table1[[#This Row],[Age]]&lt;60),"Adult",IF(Table1[[#This Row],[Age]]&lt;18,"Child")))</f>
        <v>Adult</v>
      </c>
      <c r="L118" s="19"/>
    </row>
    <row r="119" spans="1:12" x14ac:dyDescent="0.25">
      <c r="A119" s="11" t="s">
        <v>144</v>
      </c>
      <c r="B119" s="11" t="s">
        <v>31</v>
      </c>
      <c r="C119" s="11" t="s">
        <v>11</v>
      </c>
      <c r="D119" s="11" t="s">
        <v>24</v>
      </c>
      <c r="E119" s="11" t="s">
        <v>17</v>
      </c>
      <c r="F119" s="11">
        <v>25</v>
      </c>
      <c r="G119" s="11">
        <v>30699.53</v>
      </c>
      <c r="H119" s="11">
        <v>27</v>
      </c>
      <c r="I119" s="12">
        <v>63</v>
      </c>
      <c r="J119" s="15" t="str">
        <f>IF(Table1[[#This Row],[Treatment Cost]]&gt;75000,"HIGH COST","LOW COST")</f>
        <v>LOW COST</v>
      </c>
      <c r="K119" s="15" t="str">
        <f>IF(Table1[[#This Row],[Age]]&gt;=60,"Senior Citizen",IF(AND(Table1[[#This Row],[Age]]&gt;=18,Table1[[#This Row],[Age]]&lt;60),"Adult",IF(Table1[[#This Row],[Age]]&lt;18,"Child")))</f>
        <v>Adult</v>
      </c>
      <c r="L119" s="19"/>
    </row>
    <row r="120" spans="1:12" x14ac:dyDescent="0.25">
      <c r="A120" s="11" t="s">
        <v>145</v>
      </c>
      <c r="B120" s="11" t="s">
        <v>19</v>
      </c>
      <c r="C120" s="11" t="s">
        <v>20</v>
      </c>
      <c r="D120" s="11" t="s">
        <v>16</v>
      </c>
      <c r="E120" s="11" t="s">
        <v>29</v>
      </c>
      <c r="F120" s="11">
        <v>62</v>
      </c>
      <c r="G120" s="11">
        <v>162503.53</v>
      </c>
      <c r="H120" s="11">
        <v>3</v>
      </c>
      <c r="I120" s="12">
        <v>46</v>
      </c>
      <c r="J120" s="15" t="str">
        <f>IF(Table1[[#This Row],[Treatment Cost]]&gt;75000,"HIGH COST","LOW COST")</f>
        <v>HIGH COST</v>
      </c>
      <c r="K120" s="15" t="str">
        <f>IF(Table1[[#This Row],[Age]]&gt;=60,"Senior Citizen",IF(AND(Table1[[#This Row],[Age]]&gt;=18,Table1[[#This Row],[Age]]&lt;60),"Adult",IF(Table1[[#This Row],[Age]]&lt;18,"Child")))</f>
        <v>Senior Citizen</v>
      </c>
      <c r="L120" s="19"/>
    </row>
    <row r="121" spans="1:12" x14ac:dyDescent="0.25">
      <c r="A121" s="11" t="s">
        <v>146</v>
      </c>
      <c r="B121" s="11" t="s">
        <v>15</v>
      </c>
      <c r="C121" s="11" t="s">
        <v>20</v>
      </c>
      <c r="D121" s="11" t="s">
        <v>12</v>
      </c>
      <c r="E121" s="11" t="s">
        <v>29</v>
      </c>
      <c r="F121" s="11">
        <v>89</v>
      </c>
      <c r="G121" s="11">
        <v>144601.9</v>
      </c>
      <c r="H121" s="11">
        <v>14</v>
      </c>
      <c r="I121" s="12">
        <v>66</v>
      </c>
      <c r="J121" s="15" t="str">
        <f>IF(Table1[[#This Row],[Treatment Cost]]&gt;75000,"HIGH COST","LOW COST")</f>
        <v>HIGH COST</v>
      </c>
      <c r="K121" s="15" t="str">
        <f>IF(Table1[[#This Row],[Age]]&gt;=60,"Senior Citizen",IF(AND(Table1[[#This Row],[Age]]&gt;=18,Table1[[#This Row],[Age]]&lt;60),"Adult",IF(Table1[[#This Row],[Age]]&lt;18,"Child")))</f>
        <v>Senior Citizen</v>
      </c>
      <c r="L121" s="19"/>
    </row>
    <row r="122" spans="1:12" x14ac:dyDescent="0.25">
      <c r="A122" s="11" t="s">
        <v>147</v>
      </c>
      <c r="B122" s="11" t="s">
        <v>34</v>
      </c>
      <c r="C122" s="11" t="s">
        <v>23</v>
      </c>
      <c r="D122" s="11" t="s">
        <v>24</v>
      </c>
      <c r="E122" s="11" t="s">
        <v>13</v>
      </c>
      <c r="F122" s="11">
        <v>13</v>
      </c>
      <c r="G122" s="11">
        <v>75183.58</v>
      </c>
      <c r="H122" s="11">
        <v>5</v>
      </c>
      <c r="I122" s="12">
        <v>66</v>
      </c>
      <c r="J122" s="15" t="str">
        <f>IF(Table1[[#This Row],[Treatment Cost]]&gt;75000,"HIGH COST","LOW COST")</f>
        <v>HIGH COST</v>
      </c>
      <c r="K122" s="15" t="str">
        <f>IF(Table1[[#This Row],[Age]]&gt;=60,"Senior Citizen",IF(AND(Table1[[#This Row],[Age]]&gt;=18,Table1[[#This Row],[Age]]&lt;60),"Adult",IF(Table1[[#This Row],[Age]]&lt;18,"Child")))</f>
        <v>Child</v>
      </c>
      <c r="L122" s="19"/>
    </row>
    <row r="123" spans="1:12" x14ac:dyDescent="0.25">
      <c r="A123" s="11" t="s">
        <v>148</v>
      </c>
      <c r="B123" s="11" t="s">
        <v>31</v>
      </c>
      <c r="C123" s="11" t="s">
        <v>20</v>
      </c>
      <c r="D123" s="11" t="s">
        <v>26</v>
      </c>
      <c r="E123" s="11" t="s">
        <v>29</v>
      </c>
      <c r="F123" s="11">
        <v>53</v>
      </c>
      <c r="G123" s="11">
        <v>50636.82</v>
      </c>
      <c r="H123" s="11">
        <v>21</v>
      </c>
      <c r="I123" s="12">
        <v>41</v>
      </c>
      <c r="J123" s="15" t="str">
        <f>IF(Table1[[#This Row],[Treatment Cost]]&gt;75000,"HIGH COST","LOW COST")</f>
        <v>LOW COST</v>
      </c>
      <c r="K123" s="15" t="str">
        <f>IF(Table1[[#This Row],[Age]]&gt;=60,"Senior Citizen",IF(AND(Table1[[#This Row],[Age]]&gt;=18,Table1[[#This Row],[Age]]&lt;60),"Adult",IF(Table1[[#This Row],[Age]]&lt;18,"Child")))</f>
        <v>Adult</v>
      </c>
      <c r="L123" s="19"/>
    </row>
    <row r="124" spans="1:12" x14ac:dyDescent="0.25">
      <c r="A124" s="11" t="s">
        <v>149</v>
      </c>
      <c r="B124" s="11" t="s">
        <v>36</v>
      </c>
      <c r="C124" s="11" t="s">
        <v>20</v>
      </c>
      <c r="D124" s="11" t="s">
        <v>24</v>
      </c>
      <c r="E124" s="11" t="s">
        <v>17</v>
      </c>
      <c r="F124" s="11">
        <v>66</v>
      </c>
      <c r="G124" s="11">
        <v>181337.2</v>
      </c>
      <c r="H124" s="11">
        <v>14</v>
      </c>
      <c r="I124" s="12">
        <v>86</v>
      </c>
      <c r="J124" s="15" t="str">
        <f>IF(Table1[[#This Row],[Treatment Cost]]&gt;75000,"HIGH COST","LOW COST")</f>
        <v>HIGH COST</v>
      </c>
      <c r="K124" s="15" t="str">
        <f>IF(Table1[[#This Row],[Age]]&gt;=60,"Senior Citizen",IF(AND(Table1[[#This Row],[Age]]&gt;=18,Table1[[#This Row],[Age]]&lt;60),"Adult",IF(Table1[[#This Row],[Age]]&lt;18,"Child")))</f>
        <v>Senior Citizen</v>
      </c>
      <c r="L124" s="19"/>
    </row>
    <row r="125" spans="1:12" x14ac:dyDescent="0.25">
      <c r="A125" s="11" t="s">
        <v>150</v>
      </c>
      <c r="B125" s="11" t="s">
        <v>36</v>
      </c>
      <c r="C125" s="11" t="s">
        <v>23</v>
      </c>
      <c r="D125" s="11" t="s">
        <v>26</v>
      </c>
      <c r="E125" s="11" t="s">
        <v>13</v>
      </c>
      <c r="F125" s="11">
        <v>70</v>
      </c>
      <c r="G125" s="11">
        <v>134527.44</v>
      </c>
      <c r="H125" s="11">
        <v>11</v>
      </c>
      <c r="I125" s="12">
        <v>67</v>
      </c>
      <c r="J125" s="15" t="str">
        <f>IF(Table1[[#This Row],[Treatment Cost]]&gt;75000,"HIGH COST","LOW COST")</f>
        <v>HIGH COST</v>
      </c>
      <c r="K125" s="15" t="str">
        <f>IF(Table1[[#This Row],[Age]]&gt;=60,"Senior Citizen",IF(AND(Table1[[#This Row],[Age]]&gt;=18,Table1[[#This Row],[Age]]&lt;60),"Adult",IF(Table1[[#This Row],[Age]]&lt;18,"Child")))</f>
        <v>Senior Citizen</v>
      </c>
      <c r="L125" s="19"/>
    </row>
    <row r="126" spans="1:12" x14ac:dyDescent="0.25">
      <c r="A126" s="11" t="s">
        <v>151</v>
      </c>
      <c r="B126" s="11" t="s">
        <v>15</v>
      </c>
      <c r="C126" s="11" t="s">
        <v>11</v>
      </c>
      <c r="D126" s="11" t="s">
        <v>24</v>
      </c>
      <c r="E126" s="11" t="s">
        <v>13</v>
      </c>
      <c r="F126" s="11">
        <v>39</v>
      </c>
      <c r="G126" s="11">
        <v>46214.080000000002</v>
      </c>
      <c r="H126" s="11">
        <v>14</v>
      </c>
      <c r="I126" s="12">
        <v>57</v>
      </c>
      <c r="J126" s="15" t="str">
        <f>IF(Table1[[#This Row],[Treatment Cost]]&gt;75000,"HIGH COST","LOW COST")</f>
        <v>LOW COST</v>
      </c>
      <c r="K126" s="15" t="str">
        <f>IF(Table1[[#This Row],[Age]]&gt;=60,"Senior Citizen",IF(AND(Table1[[#This Row],[Age]]&gt;=18,Table1[[#This Row],[Age]]&lt;60),"Adult",IF(Table1[[#This Row],[Age]]&lt;18,"Child")))</f>
        <v>Adult</v>
      </c>
      <c r="L126" s="19"/>
    </row>
    <row r="127" spans="1:12" x14ac:dyDescent="0.25">
      <c r="A127" s="11" t="s">
        <v>152</v>
      </c>
      <c r="B127" s="11" t="s">
        <v>10</v>
      </c>
      <c r="C127" s="11" t="s">
        <v>23</v>
      </c>
      <c r="D127" s="11" t="s">
        <v>21</v>
      </c>
      <c r="E127" s="11" t="s">
        <v>13</v>
      </c>
      <c r="F127" s="11">
        <v>59</v>
      </c>
      <c r="G127" s="11">
        <v>178181.97</v>
      </c>
      <c r="H127" s="11">
        <v>10</v>
      </c>
      <c r="I127" s="12">
        <v>86</v>
      </c>
      <c r="J127" s="15" t="str">
        <f>IF(Table1[[#This Row],[Treatment Cost]]&gt;75000,"HIGH COST","LOW COST")</f>
        <v>HIGH COST</v>
      </c>
      <c r="K127" s="15" t="str">
        <f>IF(Table1[[#This Row],[Age]]&gt;=60,"Senior Citizen",IF(AND(Table1[[#This Row],[Age]]&gt;=18,Table1[[#This Row],[Age]]&lt;60),"Adult",IF(Table1[[#This Row],[Age]]&lt;18,"Child")))</f>
        <v>Adult</v>
      </c>
      <c r="L127" s="19"/>
    </row>
    <row r="128" spans="1:12" x14ac:dyDescent="0.25">
      <c r="A128" s="11" t="s">
        <v>153</v>
      </c>
      <c r="B128" s="11" t="s">
        <v>31</v>
      </c>
      <c r="C128" s="11" t="s">
        <v>23</v>
      </c>
      <c r="D128" s="11" t="s">
        <v>16</v>
      </c>
      <c r="E128" s="11" t="s">
        <v>13</v>
      </c>
      <c r="F128" s="11">
        <v>46</v>
      </c>
      <c r="G128" s="11">
        <v>93454.58</v>
      </c>
      <c r="H128" s="11">
        <v>27</v>
      </c>
      <c r="I128" s="12">
        <v>43</v>
      </c>
      <c r="J128" s="15" t="str">
        <f>IF(Table1[[#This Row],[Treatment Cost]]&gt;75000,"HIGH COST","LOW COST")</f>
        <v>HIGH COST</v>
      </c>
      <c r="K128" s="15" t="str">
        <f>IF(Table1[[#This Row],[Age]]&gt;=60,"Senior Citizen",IF(AND(Table1[[#This Row],[Age]]&gt;=18,Table1[[#This Row],[Age]]&lt;60),"Adult",IF(Table1[[#This Row],[Age]]&lt;18,"Child")))</f>
        <v>Adult</v>
      </c>
      <c r="L128" s="19"/>
    </row>
    <row r="129" spans="1:12" x14ac:dyDescent="0.25">
      <c r="A129" s="11" t="s">
        <v>154</v>
      </c>
      <c r="B129" s="11" t="s">
        <v>15</v>
      </c>
      <c r="C129" s="11" t="s">
        <v>11</v>
      </c>
      <c r="D129" s="11" t="s">
        <v>26</v>
      </c>
      <c r="E129" s="11" t="s">
        <v>17</v>
      </c>
      <c r="F129" s="11">
        <v>37</v>
      </c>
      <c r="G129" s="11">
        <v>32384.55</v>
      </c>
      <c r="H129" s="11">
        <v>6</v>
      </c>
      <c r="I129" s="12">
        <v>59</v>
      </c>
      <c r="J129" s="15" t="str">
        <f>IF(Table1[[#This Row],[Treatment Cost]]&gt;75000,"HIGH COST","LOW COST")</f>
        <v>LOW COST</v>
      </c>
      <c r="K129" s="15" t="str">
        <f>IF(Table1[[#This Row],[Age]]&gt;=60,"Senior Citizen",IF(AND(Table1[[#This Row],[Age]]&gt;=18,Table1[[#This Row],[Age]]&lt;60),"Adult",IF(Table1[[#This Row],[Age]]&lt;18,"Child")))</f>
        <v>Adult</v>
      </c>
      <c r="L129" s="19"/>
    </row>
    <row r="130" spans="1:12" x14ac:dyDescent="0.25">
      <c r="A130" s="11" t="s">
        <v>155</v>
      </c>
      <c r="B130" s="11" t="s">
        <v>19</v>
      </c>
      <c r="C130" s="11" t="s">
        <v>23</v>
      </c>
      <c r="D130" s="11" t="s">
        <v>24</v>
      </c>
      <c r="E130" s="11" t="s">
        <v>13</v>
      </c>
      <c r="F130" s="11">
        <v>14</v>
      </c>
      <c r="G130" s="11">
        <v>124568.98</v>
      </c>
      <c r="H130" s="11">
        <v>15</v>
      </c>
      <c r="I130" s="12">
        <v>50</v>
      </c>
      <c r="J130" s="15" t="str">
        <f>IF(Table1[[#This Row],[Treatment Cost]]&gt;75000,"HIGH COST","LOW COST")</f>
        <v>HIGH COST</v>
      </c>
      <c r="K130" s="15" t="str">
        <f>IF(Table1[[#This Row],[Age]]&gt;=60,"Senior Citizen",IF(AND(Table1[[#This Row],[Age]]&gt;=18,Table1[[#This Row],[Age]]&lt;60),"Adult",IF(Table1[[#This Row],[Age]]&lt;18,"Child")))</f>
        <v>Child</v>
      </c>
      <c r="L130" s="19"/>
    </row>
    <row r="131" spans="1:12" x14ac:dyDescent="0.25">
      <c r="A131" s="11" t="s">
        <v>156</v>
      </c>
      <c r="B131" s="11" t="s">
        <v>10</v>
      </c>
      <c r="C131" s="11" t="s">
        <v>20</v>
      </c>
      <c r="D131" s="11" t="s">
        <v>24</v>
      </c>
      <c r="E131" s="11" t="s">
        <v>13</v>
      </c>
      <c r="F131" s="11">
        <v>83</v>
      </c>
      <c r="G131" s="11">
        <v>194632.26</v>
      </c>
      <c r="H131" s="11">
        <v>28</v>
      </c>
      <c r="I131" s="12">
        <v>76</v>
      </c>
      <c r="J131" s="15" t="str">
        <f>IF(Table1[[#This Row],[Treatment Cost]]&gt;75000,"HIGH COST","LOW COST")</f>
        <v>HIGH COST</v>
      </c>
      <c r="K131" s="15" t="str">
        <f>IF(Table1[[#This Row],[Age]]&gt;=60,"Senior Citizen",IF(AND(Table1[[#This Row],[Age]]&gt;=18,Table1[[#This Row],[Age]]&lt;60),"Adult",IF(Table1[[#This Row],[Age]]&lt;18,"Child")))</f>
        <v>Senior Citizen</v>
      </c>
      <c r="L131" s="19"/>
    </row>
    <row r="132" spans="1:12" x14ac:dyDescent="0.25">
      <c r="A132" s="11" t="s">
        <v>157</v>
      </c>
      <c r="B132" s="11" t="s">
        <v>36</v>
      </c>
      <c r="C132" s="11" t="s">
        <v>40</v>
      </c>
      <c r="D132" s="11" t="s">
        <v>21</v>
      </c>
      <c r="E132" s="11" t="s">
        <v>29</v>
      </c>
      <c r="F132" s="11">
        <v>7</v>
      </c>
      <c r="G132" s="11">
        <v>9078.43</v>
      </c>
      <c r="H132" s="11">
        <v>16</v>
      </c>
      <c r="I132" s="12">
        <v>76</v>
      </c>
      <c r="J132" s="15" t="str">
        <f>IF(Table1[[#This Row],[Treatment Cost]]&gt;75000,"HIGH COST","LOW COST")</f>
        <v>LOW COST</v>
      </c>
      <c r="K132" s="15" t="str">
        <f>IF(Table1[[#This Row],[Age]]&gt;=60,"Senior Citizen",IF(AND(Table1[[#This Row],[Age]]&gt;=18,Table1[[#This Row],[Age]]&lt;60),"Adult",IF(Table1[[#This Row],[Age]]&lt;18,"Child")))</f>
        <v>Child</v>
      </c>
      <c r="L132" s="19"/>
    </row>
    <row r="133" spans="1:12" x14ac:dyDescent="0.25">
      <c r="A133" s="11" t="s">
        <v>158</v>
      </c>
      <c r="B133" s="11" t="s">
        <v>10</v>
      </c>
      <c r="C133" s="11" t="s">
        <v>11</v>
      </c>
      <c r="D133" s="11" t="s">
        <v>21</v>
      </c>
      <c r="E133" s="11" t="s">
        <v>13</v>
      </c>
      <c r="F133" s="11">
        <v>44</v>
      </c>
      <c r="G133" s="11">
        <v>162582.18</v>
      </c>
      <c r="H133" s="11">
        <v>26</v>
      </c>
      <c r="I133" s="12">
        <v>81</v>
      </c>
      <c r="J133" s="15" t="str">
        <f>IF(Table1[[#This Row],[Treatment Cost]]&gt;75000,"HIGH COST","LOW COST")</f>
        <v>HIGH COST</v>
      </c>
      <c r="K133" s="15" t="str">
        <f>IF(Table1[[#This Row],[Age]]&gt;=60,"Senior Citizen",IF(AND(Table1[[#This Row],[Age]]&gt;=18,Table1[[#This Row],[Age]]&lt;60),"Adult",IF(Table1[[#This Row],[Age]]&lt;18,"Child")))</f>
        <v>Adult</v>
      </c>
      <c r="L133" s="19"/>
    </row>
    <row r="134" spans="1:12" x14ac:dyDescent="0.25">
      <c r="A134" s="11" t="s">
        <v>159</v>
      </c>
      <c r="B134" s="11" t="s">
        <v>34</v>
      </c>
      <c r="C134" s="11" t="s">
        <v>20</v>
      </c>
      <c r="D134" s="11" t="s">
        <v>24</v>
      </c>
      <c r="E134" s="11" t="s">
        <v>13</v>
      </c>
      <c r="F134" s="11">
        <v>55</v>
      </c>
      <c r="G134" s="11">
        <v>198595.82</v>
      </c>
      <c r="H134" s="11">
        <v>27</v>
      </c>
      <c r="I134" s="12">
        <v>59</v>
      </c>
      <c r="J134" s="15" t="str">
        <f>IF(Table1[[#This Row],[Treatment Cost]]&gt;75000,"HIGH COST","LOW COST")</f>
        <v>HIGH COST</v>
      </c>
      <c r="K134" s="15" t="str">
        <f>IF(Table1[[#This Row],[Age]]&gt;=60,"Senior Citizen",IF(AND(Table1[[#This Row],[Age]]&gt;=18,Table1[[#This Row],[Age]]&lt;60),"Adult",IF(Table1[[#This Row],[Age]]&lt;18,"Child")))</f>
        <v>Adult</v>
      </c>
      <c r="L134" s="19"/>
    </row>
    <row r="135" spans="1:12" x14ac:dyDescent="0.25">
      <c r="A135" s="11" t="s">
        <v>160</v>
      </c>
      <c r="B135" s="11" t="s">
        <v>31</v>
      </c>
      <c r="C135" s="11" t="s">
        <v>11</v>
      </c>
      <c r="D135" s="11" t="s">
        <v>26</v>
      </c>
      <c r="E135" s="11" t="s">
        <v>13</v>
      </c>
      <c r="F135" s="11">
        <v>76</v>
      </c>
      <c r="G135" s="11">
        <v>77424.33</v>
      </c>
      <c r="H135" s="11">
        <v>13</v>
      </c>
      <c r="I135" s="12">
        <v>60</v>
      </c>
      <c r="J135" s="15" t="str">
        <f>IF(Table1[[#This Row],[Treatment Cost]]&gt;75000,"HIGH COST","LOW COST")</f>
        <v>HIGH COST</v>
      </c>
      <c r="K135" s="15" t="str">
        <f>IF(Table1[[#This Row],[Age]]&gt;=60,"Senior Citizen",IF(AND(Table1[[#This Row],[Age]]&gt;=18,Table1[[#This Row],[Age]]&lt;60),"Adult",IF(Table1[[#This Row],[Age]]&lt;18,"Child")))</f>
        <v>Senior Citizen</v>
      </c>
      <c r="L135" s="19"/>
    </row>
    <row r="136" spans="1:12" x14ac:dyDescent="0.25">
      <c r="A136" s="11" t="s">
        <v>161</v>
      </c>
      <c r="B136" s="11" t="s">
        <v>19</v>
      </c>
      <c r="C136" s="11" t="s">
        <v>20</v>
      </c>
      <c r="D136" s="11" t="s">
        <v>12</v>
      </c>
      <c r="E136" s="11" t="s">
        <v>17</v>
      </c>
      <c r="F136" s="11">
        <v>61</v>
      </c>
      <c r="G136" s="11">
        <v>57624.09</v>
      </c>
      <c r="H136" s="11">
        <v>13</v>
      </c>
      <c r="I136" s="12">
        <v>61</v>
      </c>
      <c r="J136" s="15" t="str">
        <f>IF(Table1[[#This Row],[Treatment Cost]]&gt;75000,"HIGH COST","LOW COST")</f>
        <v>LOW COST</v>
      </c>
      <c r="K136" s="15" t="str">
        <f>IF(Table1[[#This Row],[Age]]&gt;=60,"Senior Citizen",IF(AND(Table1[[#This Row],[Age]]&gt;=18,Table1[[#This Row],[Age]]&lt;60),"Adult",IF(Table1[[#This Row],[Age]]&lt;18,"Child")))</f>
        <v>Senior Citizen</v>
      </c>
      <c r="L136" s="19"/>
    </row>
    <row r="137" spans="1:12" x14ac:dyDescent="0.25">
      <c r="A137" s="11" t="s">
        <v>162</v>
      </c>
      <c r="B137" s="11" t="s">
        <v>34</v>
      </c>
      <c r="C137" s="11" t="s">
        <v>20</v>
      </c>
      <c r="D137" s="11" t="s">
        <v>16</v>
      </c>
      <c r="E137" s="11" t="s">
        <v>17</v>
      </c>
      <c r="F137" s="11">
        <v>74</v>
      </c>
      <c r="G137" s="11">
        <v>41975.91</v>
      </c>
      <c r="H137" s="11">
        <v>8</v>
      </c>
      <c r="I137" s="12">
        <v>71</v>
      </c>
      <c r="J137" s="15" t="str">
        <f>IF(Table1[[#This Row],[Treatment Cost]]&gt;75000,"HIGH COST","LOW COST")</f>
        <v>LOW COST</v>
      </c>
      <c r="K137" s="15" t="str">
        <f>IF(Table1[[#This Row],[Age]]&gt;=60,"Senior Citizen",IF(AND(Table1[[#This Row],[Age]]&gt;=18,Table1[[#This Row],[Age]]&lt;60),"Adult",IF(Table1[[#This Row],[Age]]&lt;18,"Child")))</f>
        <v>Senior Citizen</v>
      </c>
      <c r="L137" s="19"/>
    </row>
    <row r="138" spans="1:12" x14ac:dyDescent="0.25">
      <c r="A138" s="11" t="s">
        <v>163</v>
      </c>
      <c r="B138" s="11" t="s">
        <v>15</v>
      </c>
      <c r="C138" s="11" t="s">
        <v>11</v>
      </c>
      <c r="D138" s="11" t="s">
        <v>12</v>
      </c>
      <c r="E138" s="11" t="s">
        <v>17</v>
      </c>
      <c r="F138" s="11">
        <v>71</v>
      </c>
      <c r="G138" s="11">
        <v>88656.69</v>
      </c>
      <c r="H138" s="11">
        <v>22</v>
      </c>
      <c r="I138" s="12">
        <v>44</v>
      </c>
      <c r="J138" s="15" t="str">
        <f>IF(Table1[[#This Row],[Treatment Cost]]&gt;75000,"HIGH COST","LOW COST")</f>
        <v>HIGH COST</v>
      </c>
      <c r="K138" s="15" t="str">
        <f>IF(Table1[[#This Row],[Age]]&gt;=60,"Senior Citizen",IF(AND(Table1[[#This Row],[Age]]&gt;=18,Table1[[#This Row],[Age]]&lt;60),"Adult",IF(Table1[[#This Row],[Age]]&lt;18,"Child")))</f>
        <v>Senior Citizen</v>
      </c>
      <c r="L138" s="19"/>
    </row>
    <row r="139" spans="1:12" x14ac:dyDescent="0.25">
      <c r="A139" s="11" t="s">
        <v>164</v>
      </c>
      <c r="B139" s="11" t="s">
        <v>34</v>
      </c>
      <c r="C139" s="11" t="s">
        <v>40</v>
      </c>
      <c r="D139" s="11" t="s">
        <v>16</v>
      </c>
      <c r="E139" s="11" t="s">
        <v>13</v>
      </c>
      <c r="F139" s="11">
        <v>25</v>
      </c>
      <c r="G139" s="11">
        <v>107845.72</v>
      </c>
      <c r="H139" s="11">
        <v>17</v>
      </c>
      <c r="I139" s="12">
        <v>77</v>
      </c>
      <c r="J139" s="15" t="str">
        <f>IF(Table1[[#This Row],[Treatment Cost]]&gt;75000,"HIGH COST","LOW COST")</f>
        <v>HIGH COST</v>
      </c>
      <c r="K139" s="15" t="str">
        <f>IF(Table1[[#This Row],[Age]]&gt;=60,"Senior Citizen",IF(AND(Table1[[#This Row],[Age]]&gt;=18,Table1[[#This Row],[Age]]&lt;60),"Adult",IF(Table1[[#This Row],[Age]]&lt;18,"Child")))</f>
        <v>Adult</v>
      </c>
      <c r="L139" s="19"/>
    </row>
    <row r="140" spans="1:12" x14ac:dyDescent="0.25">
      <c r="A140" s="11" t="s">
        <v>165</v>
      </c>
      <c r="B140" s="11" t="s">
        <v>34</v>
      </c>
      <c r="C140" s="11" t="s">
        <v>20</v>
      </c>
      <c r="D140" s="11" t="s">
        <v>12</v>
      </c>
      <c r="E140" s="11" t="s">
        <v>29</v>
      </c>
      <c r="F140" s="11">
        <v>4</v>
      </c>
      <c r="G140" s="11">
        <v>146353.65</v>
      </c>
      <c r="H140" s="11">
        <v>27</v>
      </c>
      <c r="I140" s="12">
        <v>87</v>
      </c>
      <c r="J140" s="15" t="str">
        <f>IF(Table1[[#This Row],[Treatment Cost]]&gt;75000,"HIGH COST","LOW COST")</f>
        <v>HIGH COST</v>
      </c>
      <c r="K140" s="15" t="str">
        <f>IF(Table1[[#This Row],[Age]]&gt;=60,"Senior Citizen",IF(AND(Table1[[#This Row],[Age]]&gt;=18,Table1[[#This Row],[Age]]&lt;60),"Adult",IF(Table1[[#This Row],[Age]]&lt;18,"Child")))</f>
        <v>Child</v>
      </c>
      <c r="L140" s="19"/>
    </row>
    <row r="141" spans="1:12" x14ac:dyDescent="0.25">
      <c r="A141" s="11" t="s">
        <v>166</v>
      </c>
      <c r="B141" s="11" t="s">
        <v>36</v>
      </c>
      <c r="C141" s="11" t="s">
        <v>11</v>
      </c>
      <c r="D141" s="11" t="s">
        <v>21</v>
      </c>
      <c r="E141" s="11" t="s">
        <v>29</v>
      </c>
      <c r="F141" s="11">
        <v>23</v>
      </c>
      <c r="G141" s="11">
        <v>31910.95</v>
      </c>
      <c r="H141" s="11">
        <v>20</v>
      </c>
      <c r="I141" s="12">
        <v>48</v>
      </c>
      <c r="J141" s="15" t="str">
        <f>IF(Table1[[#This Row],[Treatment Cost]]&gt;75000,"HIGH COST","LOW COST")</f>
        <v>LOW COST</v>
      </c>
      <c r="K141" s="15" t="str">
        <f>IF(Table1[[#This Row],[Age]]&gt;=60,"Senior Citizen",IF(AND(Table1[[#This Row],[Age]]&gt;=18,Table1[[#This Row],[Age]]&lt;60),"Adult",IF(Table1[[#This Row],[Age]]&lt;18,"Child")))</f>
        <v>Adult</v>
      </c>
      <c r="L141" s="19"/>
    </row>
    <row r="142" spans="1:12" x14ac:dyDescent="0.25">
      <c r="A142" s="11" t="s">
        <v>167</v>
      </c>
      <c r="B142" s="11" t="s">
        <v>31</v>
      </c>
      <c r="C142" s="11" t="s">
        <v>23</v>
      </c>
      <c r="D142" s="11" t="s">
        <v>26</v>
      </c>
      <c r="E142" s="11" t="s">
        <v>13</v>
      </c>
      <c r="F142" s="11">
        <v>18</v>
      </c>
      <c r="G142" s="11">
        <v>178126.98</v>
      </c>
      <c r="H142" s="11">
        <v>19</v>
      </c>
      <c r="I142" s="12">
        <v>51</v>
      </c>
      <c r="J142" s="15" t="str">
        <f>IF(Table1[[#This Row],[Treatment Cost]]&gt;75000,"HIGH COST","LOW COST")</f>
        <v>HIGH COST</v>
      </c>
      <c r="K142" s="15" t="str">
        <f>IF(Table1[[#This Row],[Age]]&gt;=60,"Senior Citizen",IF(AND(Table1[[#This Row],[Age]]&gt;=18,Table1[[#This Row],[Age]]&lt;60),"Adult",IF(Table1[[#This Row],[Age]]&lt;18,"Child")))</f>
        <v>Adult</v>
      </c>
      <c r="L142" s="19"/>
    </row>
    <row r="143" spans="1:12" x14ac:dyDescent="0.25">
      <c r="A143" s="11" t="s">
        <v>168</v>
      </c>
      <c r="B143" s="11" t="s">
        <v>10</v>
      </c>
      <c r="C143" s="11" t="s">
        <v>23</v>
      </c>
      <c r="D143" s="11" t="s">
        <v>12</v>
      </c>
      <c r="E143" s="11" t="s">
        <v>17</v>
      </c>
      <c r="F143" s="11">
        <v>6</v>
      </c>
      <c r="G143" s="11">
        <v>34590.370000000003</v>
      </c>
      <c r="H143" s="11">
        <v>26</v>
      </c>
      <c r="I143" s="12">
        <v>84</v>
      </c>
      <c r="J143" s="15" t="str">
        <f>IF(Table1[[#This Row],[Treatment Cost]]&gt;75000,"HIGH COST","LOW COST")</f>
        <v>LOW COST</v>
      </c>
      <c r="K143" s="15" t="str">
        <f>IF(Table1[[#This Row],[Age]]&gt;=60,"Senior Citizen",IF(AND(Table1[[#This Row],[Age]]&gt;=18,Table1[[#This Row],[Age]]&lt;60),"Adult",IF(Table1[[#This Row],[Age]]&lt;18,"Child")))</f>
        <v>Child</v>
      </c>
      <c r="L143" s="19"/>
    </row>
    <row r="144" spans="1:12" x14ac:dyDescent="0.25">
      <c r="A144" s="11" t="s">
        <v>169</v>
      </c>
      <c r="B144" s="11" t="s">
        <v>19</v>
      </c>
      <c r="C144" s="11" t="s">
        <v>11</v>
      </c>
      <c r="D144" s="11" t="s">
        <v>26</v>
      </c>
      <c r="E144" s="11" t="s">
        <v>17</v>
      </c>
      <c r="F144" s="11">
        <v>63</v>
      </c>
      <c r="G144" s="11">
        <v>30703.38</v>
      </c>
      <c r="H144" s="11">
        <v>17</v>
      </c>
      <c r="I144" s="12">
        <v>92</v>
      </c>
      <c r="J144" s="15" t="str">
        <f>IF(Table1[[#This Row],[Treatment Cost]]&gt;75000,"HIGH COST","LOW COST")</f>
        <v>LOW COST</v>
      </c>
      <c r="K144" s="15" t="str">
        <f>IF(Table1[[#This Row],[Age]]&gt;=60,"Senior Citizen",IF(AND(Table1[[#This Row],[Age]]&gt;=18,Table1[[#This Row],[Age]]&lt;60),"Adult",IF(Table1[[#This Row],[Age]]&lt;18,"Child")))</f>
        <v>Senior Citizen</v>
      </c>
      <c r="L144" s="19"/>
    </row>
    <row r="145" spans="1:12" x14ac:dyDescent="0.25">
      <c r="A145" s="11" t="s">
        <v>170</v>
      </c>
      <c r="B145" s="11" t="s">
        <v>10</v>
      </c>
      <c r="C145" s="11" t="s">
        <v>23</v>
      </c>
      <c r="D145" s="11" t="s">
        <v>12</v>
      </c>
      <c r="E145" s="11" t="s">
        <v>13</v>
      </c>
      <c r="F145" s="11">
        <v>45</v>
      </c>
      <c r="G145" s="11">
        <v>119457.25</v>
      </c>
      <c r="H145" s="11">
        <v>29</v>
      </c>
      <c r="I145" s="12">
        <v>92</v>
      </c>
      <c r="J145" s="15" t="str">
        <f>IF(Table1[[#This Row],[Treatment Cost]]&gt;75000,"HIGH COST","LOW COST")</f>
        <v>HIGH COST</v>
      </c>
      <c r="K145" s="15" t="str">
        <f>IF(Table1[[#This Row],[Age]]&gt;=60,"Senior Citizen",IF(AND(Table1[[#This Row],[Age]]&gt;=18,Table1[[#This Row],[Age]]&lt;60),"Adult",IF(Table1[[#This Row],[Age]]&lt;18,"Child")))</f>
        <v>Adult</v>
      </c>
      <c r="L145" s="19"/>
    </row>
    <row r="146" spans="1:12" x14ac:dyDescent="0.25">
      <c r="A146" s="11" t="s">
        <v>171</v>
      </c>
      <c r="B146" s="11" t="s">
        <v>10</v>
      </c>
      <c r="C146" s="11" t="s">
        <v>20</v>
      </c>
      <c r="D146" s="11" t="s">
        <v>21</v>
      </c>
      <c r="E146" s="11" t="s">
        <v>13</v>
      </c>
      <c r="F146" s="11">
        <v>72</v>
      </c>
      <c r="G146" s="11">
        <v>50196.82</v>
      </c>
      <c r="H146" s="11">
        <v>29</v>
      </c>
      <c r="I146" s="12">
        <v>59</v>
      </c>
      <c r="J146" s="15" t="str">
        <f>IF(Table1[[#This Row],[Treatment Cost]]&gt;75000,"HIGH COST","LOW COST")</f>
        <v>LOW COST</v>
      </c>
      <c r="K146" s="15" t="str">
        <f>IF(Table1[[#This Row],[Age]]&gt;=60,"Senior Citizen",IF(AND(Table1[[#This Row],[Age]]&gt;=18,Table1[[#This Row],[Age]]&lt;60),"Adult",IF(Table1[[#This Row],[Age]]&lt;18,"Child")))</f>
        <v>Senior Citizen</v>
      </c>
      <c r="L146" s="19"/>
    </row>
    <row r="147" spans="1:12" x14ac:dyDescent="0.25">
      <c r="A147" s="11" t="s">
        <v>172</v>
      </c>
      <c r="B147" s="11" t="s">
        <v>19</v>
      </c>
      <c r="C147" s="11" t="s">
        <v>40</v>
      </c>
      <c r="D147" s="11" t="s">
        <v>26</v>
      </c>
      <c r="E147" s="11" t="s">
        <v>13</v>
      </c>
      <c r="F147" s="11">
        <v>1</v>
      </c>
      <c r="G147" s="11">
        <v>81244.61</v>
      </c>
      <c r="H147" s="11">
        <v>26</v>
      </c>
      <c r="I147" s="12">
        <v>41</v>
      </c>
      <c r="J147" s="15" t="str">
        <f>IF(Table1[[#This Row],[Treatment Cost]]&gt;75000,"HIGH COST","LOW COST")</f>
        <v>HIGH COST</v>
      </c>
      <c r="K147" s="15" t="str">
        <f>IF(Table1[[#This Row],[Age]]&gt;=60,"Senior Citizen",IF(AND(Table1[[#This Row],[Age]]&gt;=18,Table1[[#This Row],[Age]]&lt;60),"Adult",IF(Table1[[#This Row],[Age]]&lt;18,"Child")))</f>
        <v>Child</v>
      </c>
      <c r="L147" s="19"/>
    </row>
    <row r="148" spans="1:12" x14ac:dyDescent="0.25">
      <c r="A148" s="11" t="s">
        <v>173</v>
      </c>
      <c r="B148" s="11" t="s">
        <v>10</v>
      </c>
      <c r="C148" s="11" t="s">
        <v>11</v>
      </c>
      <c r="D148" s="11" t="s">
        <v>16</v>
      </c>
      <c r="E148" s="11" t="s">
        <v>17</v>
      </c>
      <c r="F148" s="11">
        <v>18</v>
      </c>
      <c r="G148" s="11">
        <v>166033.43</v>
      </c>
      <c r="H148" s="11">
        <v>25</v>
      </c>
      <c r="I148" s="12">
        <v>53</v>
      </c>
      <c r="J148" s="15" t="str">
        <f>IF(Table1[[#This Row],[Treatment Cost]]&gt;75000,"HIGH COST","LOW COST")</f>
        <v>HIGH COST</v>
      </c>
      <c r="K148" s="15" t="str">
        <f>IF(Table1[[#This Row],[Age]]&gt;=60,"Senior Citizen",IF(AND(Table1[[#This Row],[Age]]&gt;=18,Table1[[#This Row],[Age]]&lt;60),"Adult",IF(Table1[[#This Row],[Age]]&lt;18,"Child")))</f>
        <v>Adult</v>
      </c>
      <c r="L148" s="19"/>
    </row>
    <row r="149" spans="1:12" x14ac:dyDescent="0.25">
      <c r="A149" s="11" t="s">
        <v>174</v>
      </c>
      <c r="B149" s="11" t="s">
        <v>15</v>
      </c>
      <c r="C149" s="11" t="s">
        <v>23</v>
      </c>
      <c r="D149" s="11" t="s">
        <v>16</v>
      </c>
      <c r="E149" s="11" t="s">
        <v>13</v>
      </c>
      <c r="F149" s="11">
        <v>54</v>
      </c>
      <c r="G149" s="11">
        <v>135306.15</v>
      </c>
      <c r="H149" s="11">
        <v>23</v>
      </c>
      <c r="I149" s="12">
        <v>66</v>
      </c>
      <c r="J149" s="15" t="str">
        <f>IF(Table1[[#This Row],[Treatment Cost]]&gt;75000,"HIGH COST","LOW COST")</f>
        <v>HIGH COST</v>
      </c>
      <c r="K149" s="15" t="str">
        <f>IF(Table1[[#This Row],[Age]]&gt;=60,"Senior Citizen",IF(AND(Table1[[#This Row],[Age]]&gt;=18,Table1[[#This Row],[Age]]&lt;60),"Adult",IF(Table1[[#This Row],[Age]]&lt;18,"Child")))</f>
        <v>Adult</v>
      </c>
      <c r="L149" s="19"/>
    </row>
    <row r="150" spans="1:12" x14ac:dyDescent="0.25">
      <c r="A150" s="11" t="s">
        <v>175</v>
      </c>
      <c r="B150" s="11" t="s">
        <v>19</v>
      </c>
      <c r="C150" s="11" t="s">
        <v>20</v>
      </c>
      <c r="D150" s="11" t="s">
        <v>24</v>
      </c>
      <c r="E150" s="11" t="s">
        <v>17</v>
      </c>
      <c r="F150" s="11">
        <v>37</v>
      </c>
      <c r="G150" s="11">
        <v>61598.53</v>
      </c>
      <c r="H150" s="11">
        <v>3</v>
      </c>
      <c r="I150" s="12">
        <v>62</v>
      </c>
      <c r="J150" s="15" t="str">
        <f>IF(Table1[[#This Row],[Treatment Cost]]&gt;75000,"HIGH COST","LOW COST")</f>
        <v>LOW COST</v>
      </c>
      <c r="K150" s="15" t="str">
        <f>IF(Table1[[#This Row],[Age]]&gt;=60,"Senior Citizen",IF(AND(Table1[[#This Row],[Age]]&gt;=18,Table1[[#This Row],[Age]]&lt;60),"Adult",IF(Table1[[#This Row],[Age]]&lt;18,"Child")))</f>
        <v>Adult</v>
      </c>
      <c r="L150" s="19"/>
    </row>
    <row r="151" spans="1:12" x14ac:dyDescent="0.25">
      <c r="A151" s="11" t="s">
        <v>176</v>
      </c>
      <c r="B151" s="11" t="s">
        <v>10</v>
      </c>
      <c r="C151" s="11" t="s">
        <v>40</v>
      </c>
      <c r="D151" s="11" t="s">
        <v>16</v>
      </c>
      <c r="E151" s="11" t="s">
        <v>13</v>
      </c>
      <c r="F151" s="11">
        <v>8</v>
      </c>
      <c r="G151" s="11">
        <v>110767.63</v>
      </c>
      <c r="H151" s="11">
        <v>14</v>
      </c>
      <c r="I151" s="12">
        <v>77</v>
      </c>
      <c r="J151" s="15" t="str">
        <f>IF(Table1[[#This Row],[Treatment Cost]]&gt;75000,"HIGH COST","LOW COST")</f>
        <v>HIGH COST</v>
      </c>
      <c r="K151" s="15" t="str">
        <f>IF(Table1[[#This Row],[Age]]&gt;=60,"Senior Citizen",IF(AND(Table1[[#This Row],[Age]]&gt;=18,Table1[[#This Row],[Age]]&lt;60),"Adult",IF(Table1[[#This Row],[Age]]&lt;18,"Child")))</f>
        <v>Child</v>
      </c>
      <c r="L151" s="19"/>
    </row>
    <row r="152" spans="1:12" x14ac:dyDescent="0.25">
      <c r="A152" s="11" t="s">
        <v>177</v>
      </c>
      <c r="B152" s="11" t="s">
        <v>10</v>
      </c>
      <c r="C152" s="11" t="s">
        <v>23</v>
      </c>
      <c r="D152" s="11" t="s">
        <v>16</v>
      </c>
      <c r="E152" s="11" t="s">
        <v>13</v>
      </c>
      <c r="F152" s="11">
        <v>18</v>
      </c>
      <c r="G152" s="11">
        <v>161014.1</v>
      </c>
      <c r="H152" s="11">
        <v>28</v>
      </c>
      <c r="I152" s="12">
        <v>40</v>
      </c>
      <c r="J152" s="15" t="str">
        <f>IF(Table1[[#This Row],[Treatment Cost]]&gt;75000,"HIGH COST","LOW COST")</f>
        <v>HIGH COST</v>
      </c>
      <c r="K152" s="15" t="str">
        <f>IF(Table1[[#This Row],[Age]]&gt;=60,"Senior Citizen",IF(AND(Table1[[#This Row],[Age]]&gt;=18,Table1[[#This Row],[Age]]&lt;60),"Adult",IF(Table1[[#This Row],[Age]]&lt;18,"Child")))</f>
        <v>Adult</v>
      </c>
      <c r="L152" s="19"/>
    </row>
    <row r="153" spans="1:12" x14ac:dyDescent="0.25">
      <c r="A153" s="11" t="s">
        <v>178</v>
      </c>
      <c r="B153" s="11" t="s">
        <v>36</v>
      </c>
      <c r="C153" s="11" t="s">
        <v>20</v>
      </c>
      <c r="D153" s="11" t="s">
        <v>21</v>
      </c>
      <c r="E153" s="11" t="s">
        <v>13</v>
      </c>
      <c r="F153" s="11">
        <v>35</v>
      </c>
      <c r="G153" s="11">
        <v>80995.41</v>
      </c>
      <c r="H153" s="11">
        <v>11</v>
      </c>
      <c r="I153" s="12">
        <v>98</v>
      </c>
      <c r="J153" s="15" t="str">
        <f>IF(Table1[[#This Row],[Treatment Cost]]&gt;75000,"HIGH COST","LOW COST")</f>
        <v>HIGH COST</v>
      </c>
      <c r="K153" s="15" t="str">
        <f>IF(Table1[[#This Row],[Age]]&gt;=60,"Senior Citizen",IF(AND(Table1[[#This Row],[Age]]&gt;=18,Table1[[#This Row],[Age]]&lt;60),"Adult",IF(Table1[[#This Row],[Age]]&lt;18,"Child")))</f>
        <v>Adult</v>
      </c>
      <c r="L153" s="19"/>
    </row>
    <row r="154" spans="1:12" x14ac:dyDescent="0.25">
      <c r="A154" s="11" t="s">
        <v>179</v>
      </c>
      <c r="B154" s="11" t="s">
        <v>34</v>
      </c>
      <c r="C154" s="11" t="s">
        <v>23</v>
      </c>
      <c r="D154" s="11" t="s">
        <v>24</v>
      </c>
      <c r="E154" s="11" t="s">
        <v>29</v>
      </c>
      <c r="F154" s="11">
        <v>39</v>
      </c>
      <c r="G154" s="11">
        <v>23493.03</v>
      </c>
      <c r="H154" s="11">
        <v>30</v>
      </c>
      <c r="I154" s="12">
        <v>67</v>
      </c>
      <c r="J154" s="15" t="str">
        <f>IF(Table1[[#This Row],[Treatment Cost]]&gt;75000,"HIGH COST","LOW COST")</f>
        <v>LOW COST</v>
      </c>
      <c r="K154" s="15" t="str">
        <f>IF(Table1[[#This Row],[Age]]&gt;=60,"Senior Citizen",IF(AND(Table1[[#This Row],[Age]]&gt;=18,Table1[[#This Row],[Age]]&lt;60),"Adult",IF(Table1[[#This Row],[Age]]&lt;18,"Child")))</f>
        <v>Adult</v>
      </c>
      <c r="L154" s="19"/>
    </row>
    <row r="155" spans="1:12" x14ac:dyDescent="0.25">
      <c r="A155" s="11" t="s">
        <v>180</v>
      </c>
      <c r="B155" s="11" t="s">
        <v>36</v>
      </c>
      <c r="C155" s="11" t="s">
        <v>11</v>
      </c>
      <c r="D155" s="11" t="s">
        <v>12</v>
      </c>
      <c r="E155" s="11" t="s">
        <v>29</v>
      </c>
      <c r="F155" s="11">
        <v>29</v>
      </c>
      <c r="G155" s="11">
        <v>22059.360000000001</v>
      </c>
      <c r="H155" s="11">
        <v>26</v>
      </c>
      <c r="I155" s="12">
        <v>76</v>
      </c>
      <c r="J155" s="15" t="str">
        <f>IF(Table1[[#This Row],[Treatment Cost]]&gt;75000,"HIGH COST","LOW COST")</f>
        <v>LOW COST</v>
      </c>
      <c r="K155" s="15" t="str">
        <f>IF(Table1[[#This Row],[Age]]&gt;=60,"Senior Citizen",IF(AND(Table1[[#This Row],[Age]]&gt;=18,Table1[[#This Row],[Age]]&lt;60),"Adult",IF(Table1[[#This Row],[Age]]&lt;18,"Child")))</f>
        <v>Adult</v>
      </c>
      <c r="L155" s="19"/>
    </row>
    <row r="156" spans="1:12" x14ac:dyDescent="0.25">
      <c r="A156" s="11" t="s">
        <v>181</v>
      </c>
      <c r="B156" s="11" t="s">
        <v>31</v>
      </c>
      <c r="C156" s="11" t="s">
        <v>11</v>
      </c>
      <c r="D156" s="11" t="s">
        <v>12</v>
      </c>
      <c r="E156" s="11" t="s">
        <v>29</v>
      </c>
      <c r="F156" s="11">
        <v>8</v>
      </c>
      <c r="G156" s="11">
        <v>110991.91</v>
      </c>
      <c r="H156" s="11">
        <v>6</v>
      </c>
      <c r="I156" s="12">
        <v>59</v>
      </c>
      <c r="J156" s="15" t="str">
        <f>IF(Table1[[#This Row],[Treatment Cost]]&gt;75000,"HIGH COST","LOW COST")</f>
        <v>HIGH COST</v>
      </c>
      <c r="K156" s="15" t="str">
        <f>IF(Table1[[#This Row],[Age]]&gt;=60,"Senior Citizen",IF(AND(Table1[[#This Row],[Age]]&gt;=18,Table1[[#This Row],[Age]]&lt;60),"Adult",IF(Table1[[#This Row],[Age]]&lt;18,"Child")))</f>
        <v>Child</v>
      </c>
      <c r="L156" s="19"/>
    </row>
    <row r="157" spans="1:12" x14ac:dyDescent="0.25">
      <c r="A157" s="11" t="s">
        <v>182</v>
      </c>
      <c r="B157" s="11" t="s">
        <v>19</v>
      </c>
      <c r="C157" s="11" t="s">
        <v>40</v>
      </c>
      <c r="D157" s="11" t="s">
        <v>24</v>
      </c>
      <c r="E157" s="11" t="s">
        <v>17</v>
      </c>
      <c r="F157" s="11">
        <v>18</v>
      </c>
      <c r="G157" s="11">
        <v>49209.09</v>
      </c>
      <c r="H157" s="11">
        <v>1</v>
      </c>
      <c r="I157" s="12">
        <v>71</v>
      </c>
      <c r="J157" s="15" t="str">
        <f>IF(Table1[[#This Row],[Treatment Cost]]&gt;75000,"HIGH COST","LOW COST")</f>
        <v>LOW COST</v>
      </c>
      <c r="K157" s="15" t="str">
        <f>IF(Table1[[#This Row],[Age]]&gt;=60,"Senior Citizen",IF(AND(Table1[[#This Row],[Age]]&gt;=18,Table1[[#This Row],[Age]]&lt;60),"Adult",IF(Table1[[#This Row],[Age]]&lt;18,"Child")))</f>
        <v>Adult</v>
      </c>
      <c r="L157" s="19"/>
    </row>
    <row r="158" spans="1:12" x14ac:dyDescent="0.25">
      <c r="A158" s="11" t="s">
        <v>183</v>
      </c>
      <c r="B158" s="11" t="s">
        <v>19</v>
      </c>
      <c r="C158" s="11" t="s">
        <v>40</v>
      </c>
      <c r="D158" s="11" t="s">
        <v>26</v>
      </c>
      <c r="E158" s="11" t="s">
        <v>29</v>
      </c>
      <c r="F158" s="11">
        <v>7</v>
      </c>
      <c r="G158" s="11">
        <v>102965.75</v>
      </c>
      <c r="H158" s="11">
        <v>4</v>
      </c>
      <c r="I158" s="12">
        <v>64</v>
      </c>
      <c r="J158" s="15" t="str">
        <f>IF(Table1[[#This Row],[Treatment Cost]]&gt;75000,"HIGH COST","LOW COST")</f>
        <v>HIGH COST</v>
      </c>
      <c r="K158" s="15" t="str">
        <f>IF(Table1[[#This Row],[Age]]&gt;=60,"Senior Citizen",IF(AND(Table1[[#This Row],[Age]]&gt;=18,Table1[[#This Row],[Age]]&lt;60),"Adult",IF(Table1[[#This Row],[Age]]&lt;18,"Child")))</f>
        <v>Child</v>
      </c>
      <c r="L158" s="19"/>
    </row>
    <row r="159" spans="1:12" x14ac:dyDescent="0.25">
      <c r="A159" s="11" t="s">
        <v>184</v>
      </c>
      <c r="B159" s="11" t="s">
        <v>10</v>
      </c>
      <c r="C159" s="11" t="s">
        <v>20</v>
      </c>
      <c r="D159" s="11" t="s">
        <v>21</v>
      </c>
      <c r="E159" s="11" t="s">
        <v>13</v>
      </c>
      <c r="F159" s="11">
        <v>88</v>
      </c>
      <c r="G159" s="11">
        <v>23552.14</v>
      </c>
      <c r="H159" s="11">
        <v>7</v>
      </c>
      <c r="I159" s="12">
        <v>93</v>
      </c>
      <c r="J159" s="15" t="str">
        <f>IF(Table1[[#This Row],[Treatment Cost]]&gt;75000,"HIGH COST","LOW COST")</f>
        <v>LOW COST</v>
      </c>
      <c r="K159" s="15" t="str">
        <f>IF(Table1[[#This Row],[Age]]&gt;=60,"Senior Citizen",IF(AND(Table1[[#This Row],[Age]]&gt;=18,Table1[[#This Row],[Age]]&lt;60),"Adult",IF(Table1[[#This Row],[Age]]&lt;18,"Child")))</f>
        <v>Senior Citizen</v>
      </c>
      <c r="L159" s="19"/>
    </row>
    <row r="160" spans="1:12" x14ac:dyDescent="0.25">
      <c r="A160" s="11" t="s">
        <v>185</v>
      </c>
      <c r="B160" s="11" t="s">
        <v>15</v>
      </c>
      <c r="C160" s="11" t="s">
        <v>11</v>
      </c>
      <c r="D160" s="11" t="s">
        <v>21</v>
      </c>
      <c r="E160" s="11" t="s">
        <v>29</v>
      </c>
      <c r="F160" s="11">
        <v>58</v>
      </c>
      <c r="G160" s="11">
        <v>93734.66</v>
      </c>
      <c r="H160" s="11">
        <v>28</v>
      </c>
      <c r="I160" s="12">
        <v>96</v>
      </c>
      <c r="J160" s="15" t="str">
        <f>IF(Table1[[#This Row],[Treatment Cost]]&gt;75000,"HIGH COST","LOW COST")</f>
        <v>HIGH COST</v>
      </c>
      <c r="K160" s="15" t="str">
        <f>IF(Table1[[#This Row],[Age]]&gt;=60,"Senior Citizen",IF(AND(Table1[[#This Row],[Age]]&gt;=18,Table1[[#This Row],[Age]]&lt;60),"Adult",IF(Table1[[#This Row],[Age]]&lt;18,"Child")))</f>
        <v>Adult</v>
      </c>
      <c r="L160" s="19"/>
    </row>
    <row r="161" spans="1:12" x14ac:dyDescent="0.25">
      <c r="A161" s="11" t="s">
        <v>186</v>
      </c>
      <c r="B161" s="11" t="s">
        <v>34</v>
      </c>
      <c r="C161" s="11" t="s">
        <v>20</v>
      </c>
      <c r="D161" s="11" t="s">
        <v>21</v>
      </c>
      <c r="E161" s="11" t="s">
        <v>13</v>
      </c>
      <c r="F161" s="11">
        <v>5</v>
      </c>
      <c r="G161" s="11">
        <v>67321.88</v>
      </c>
      <c r="H161" s="11">
        <v>4</v>
      </c>
      <c r="I161" s="12">
        <v>79</v>
      </c>
      <c r="J161" s="15" t="str">
        <f>IF(Table1[[#This Row],[Treatment Cost]]&gt;75000,"HIGH COST","LOW COST")</f>
        <v>LOW COST</v>
      </c>
      <c r="K161" s="15" t="str">
        <f>IF(Table1[[#This Row],[Age]]&gt;=60,"Senior Citizen",IF(AND(Table1[[#This Row],[Age]]&gt;=18,Table1[[#This Row],[Age]]&lt;60),"Adult",IF(Table1[[#This Row],[Age]]&lt;18,"Child")))</f>
        <v>Child</v>
      </c>
      <c r="L161" s="19"/>
    </row>
    <row r="162" spans="1:12" x14ac:dyDescent="0.25">
      <c r="A162" s="11" t="s">
        <v>187</v>
      </c>
      <c r="B162" s="11" t="s">
        <v>31</v>
      </c>
      <c r="C162" s="11" t="s">
        <v>40</v>
      </c>
      <c r="D162" s="11" t="s">
        <v>21</v>
      </c>
      <c r="E162" s="11" t="s">
        <v>13</v>
      </c>
      <c r="F162" s="11">
        <v>22</v>
      </c>
      <c r="G162" s="11">
        <v>144529.57999999999</v>
      </c>
      <c r="H162" s="11">
        <v>16</v>
      </c>
      <c r="I162" s="12">
        <v>59</v>
      </c>
      <c r="J162" s="15" t="str">
        <f>IF(Table1[[#This Row],[Treatment Cost]]&gt;75000,"HIGH COST","LOW COST")</f>
        <v>HIGH COST</v>
      </c>
      <c r="K162" s="15" t="str">
        <f>IF(Table1[[#This Row],[Age]]&gt;=60,"Senior Citizen",IF(AND(Table1[[#This Row],[Age]]&gt;=18,Table1[[#This Row],[Age]]&lt;60),"Adult",IF(Table1[[#This Row],[Age]]&lt;18,"Child")))</f>
        <v>Adult</v>
      </c>
      <c r="L162" s="19"/>
    </row>
    <row r="163" spans="1:12" x14ac:dyDescent="0.25">
      <c r="A163" s="11" t="s">
        <v>188</v>
      </c>
      <c r="B163" s="11" t="s">
        <v>36</v>
      </c>
      <c r="C163" s="11" t="s">
        <v>40</v>
      </c>
      <c r="D163" s="11" t="s">
        <v>21</v>
      </c>
      <c r="E163" s="11" t="s">
        <v>13</v>
      </c>
      <c r="F163" s="11">
        <v>43</v>
      </c>
      <c r="G163" s="11">
        <v>127777.95</v>
      </c>
      <c r="H163" s="11">
        <v>6</v>
      </c>
      <c r="I163" s="12">
        <v>59</v>
      </c>
      <c r="J163" s="15" t="str">
        <f>IF(Table1[[#This Row],[Treatment Cost]]&gt;75000,"HIGH COST","LOW COST")</f>
        <v>HIGH COST</v>
      </c>
      <c r="K163" s="15" t="str">
        <f>IF(Table1[[#This Row],[Age]]&gt;=60,"Senior Citizen",IF(AND(Table1[[#This Row],[Age]]&gt;=18,Table1[[#This Row],[Age]]&lt;60),"Adult",IF(Table1[[#This Row],[Age]]&lt;18,"Child")))</f>
        <v>Adult</v>
      </c>
      <c r="L163" s="19"/>
    </row>
    <row r="164" spans="1:12" x14ac:dyDescent="0.25">
      <c r="A164" s="11" t="s">
        <v>189</v>
      </c>
      <c r="B164" s="11" t="s">
        <v>15</v>
      </c>
      <c r="C164" s="11" t="s">
        <v>23</v>
      </c>
      <c r="D164" s="11" t="s">
        <v>24</v>
      </c>
      <c r="E164" s="11" t="s">
        <v>17</v>
      </c>
      <c r="F164" s="11">
        <v>73</v>
      </c>
      <c r="G164" s="11">
        <v>171638.14</v>
      </c>
      <c r="H164" s="11">
        <v>3</v>
      </c>
      <c r="I164" s="12">
        <v>90</v>
      </c>
      <c r="J164" s="15" t="str">
        <f>IF(Table1[[#This Row],[Treatment Cost]]&gt;75000,"HIGH COST","LOW COST")</f>
        <v>HIGH COST</v>
      </c>
      <c r="K164" s="15" t="str">
        <f>IF(Table1[[#This Row],[Age]]&gt;=60,"Senior Citizen",IF(AND(Table1[[#This Row],[Age]]&gt;=18,Table1[[#This Row],[Age]]&lt;60),"Adult",IF(Table1[[#This Row],[Age]]&lt;18,"Child")))</f>
        <v>Senior Citizen</v>
      </c>
      <c r="L164" s="19"/>
    </row>
    <row r="165" spans="1:12" x14ac:dyDescent="0.25">
      <c r="A165" s="11" t="s">
        <v>190</v>
      </c>
      <c r="B165" s="11" t="s">
        <v>19</v>
      </c>
      <c r="C165" s="11" t="s">
        <v>11</v>
      </c>
      <c r="D165" s="11" t="s">
        <v>21</v>
      </c>
      <c r="E165" s="11" t="s">
        <v>13</v>
      </c>
      <c r="F165" s="11">
        <v>86</v>
      </c>
      <c r="G165" s="11">
        <v>172377.99</v>
      </c>
      <c r="H165" s="11">
        <v>30</v>
      </c>
      <c r="I165" s="12">
        <v>89</v>
      </c>
      <c r="J165" s="15" t="str">
        <f>IF(Table1[[#This Row],[Treatment Cost]]&gt;75000,"HIGH COST","LOW COST")</f>
        <v>HIGH COST</v>
      </c>
      <c r="K165" s="15" t="str">
        <f>IF(Table1[[#This Row],[Age]]&gt;=60,"Senior Citizen",IF(AND(Table1[[#This Row],[Age]]&gt;=18,Table1[[#This Row],[Age]]&lt;60),"Adult",IF(Table1[[#This Row],[Age]]&lt;18,"Child")))</f>
        <v>Senior Citizen</v>
      </c>
      <c r="L165" s="19"/>
    </row>
    <row r="166" spans="1:12" x14ac:dyDescent="0.25">
      <c r="A166" s="11" t="s">
        <v>191</v>
      </c>
      <c r="B166" s="11" t="s">
        <v>10</v>
      </c>
      <c r="C166" s="11" t="s">
        <v>23</v>
      </c>
      <c r="D166" s="11" t="s">
        <v>24</v>
      </c>
      <c r="E166" s="11" t="s">
        <v>13</v>
      </c>
      <c r="F166" s="11">
        <v>70</v>
      </c>
      <c r="G166" s="11">
        <v>30394.77</v>
      </c>
      <c r="H166" s="11">
        <v>5</v>
      </c>
      <c r="I166" s="12">
        <v>44</v>
      </c>
      <c r="J166" s="15" t="str">
        <f>IF(Table1[[#This Row],[Treatment Cost]]&gt;75000,"HIGH COST","LOW COST")</f>
        <v>LOW COST</v>
      </c>
      <c r="K166" s="15" t="str">
        <f>IF(Table1[[#This Row],[Age]]&gt;=60,"Senior Citizen",IF(AND(Table1[[#This Row],[Age]]&gt;=18,Table1[[#This Row],[Age]]&lt;60),"Adult",IF(Table1[[#This Row],[Age]]&lt;18,"Child")))</f>
        <v>Senior Citizen</v>
      </c>
      <c r="L166" s="19"/>
    </row>
    <row r="167" spans="1:12" x14ac:dyDescent="0.25">
      <c r="A167" s="11" t="s">
        <v>192</v>
      </c>
      <c r="B167" s="11" t="s">
        <v>36</v>
      </c>
      <c r="C167" s="11" t="s">
        <v>40</v>
      </c>
      <c r="D167" s="11" t="s">
        <v>26</v>
      </c>
      <c r="E167" s="11" t="s">
        <v>29</v>
      </c>
      <c r="F167" s="11">
        <v>63</v>
      </c>
      <c r="G167" s="11">
        <v>162079.04000000001</v>
      </c>
      <c r="H167" s="11">
        <v>23</v>
      </c>
      <c r="I167" s="12">
        <v>83</v>
      </c>
      <c r="J167" s="15" t="str">
        <f>IF(Table1[[#This Row],[Treatment Cost]]&gt;75000,"HIGH COST","LOW COST")</f>
        <v>HIGH COST</v>
      </c>
      <c r="K167" s="15" t="str">
        <f>IF(Table1[[#This Row],[Age]]&gt;=60,"Senior Citizen",IF(AND(Table1[[#This Row],[Age]]&gt;=18,Table1[[#This Row],[Age]]&lt;60),"Adult",IF(Table1[[#This Row],[Age]]&lt;18,"Child")))</f>
        <v>Senior Citizen</v>
      </c>
      <c r="L167" s="19"/>
    </row>
    <row r="168" spans="1:12" x14ac:dyDescent="0.25">
      <c r="A168" s="11" t="s">
        <v>193</v>
      </c>
      <c r="B168" s="11" t="s">
        <v>15</v>
      </c>
      <c r="C168" s="11" t="s">
        <v>23</v>
      </c>
      <c r="D168" s="11" t="s">
        <v>12</v>
      </c>
      <c r="E168" s="11" t="s">
        <v>29</v>
      </c>
      <c r="F168" s="11">
        <v>19</v>
      </c>
      <c r="G168" s="11">
        <v>37783.78</v>
      </c>
      <c r="H168" s="11">
        <v>13</v>
      </c>
      <c r="I168" s="12">
        <v>58</v>
      </c>
      <c r="J168" s="15" t="str">
        <f>IF(Table1[[#This Row],[Treatment Cost]]&gt;75000,"HIGH COST","LOW COST")</f>
        <v>LOW COST</v>
      </c>
      <c r="K168" s="15" t="str">
        <f>IF(Table1[[#This Row],[Age]]&gt;=60,"Senior Citizen",IF(AND(Table1[[#This Row],[Age]]&gt;=18,Table1[[#This Row],[Age]]&lt;60),"Adult",IF(Table1[[#This Row],[Age]]&lt;18,"Child")))</f>
        <v>Adult</v>
      </c>
      <c r="L168" s="19"/>
    </row>
    <row r="169" spans="1:12" x14ac:dyDescent="0.25">
      <c r="A169" s="11" t="s">
        <v>194</v>
      </c>
      <c r="B169" s="11" t="s">
        <v>10</v>
      </c>
      <c r="C169" s="11" t="s">
        <v>11</v>
      </c>
      <c r="D169" s="11" t="s">
        <v>24</v>
      </c>
      <c r="E169" s="11" t="s">
        <v>13</v>
      </c>
      <c r="F169" s="11">
        <v>55</v>
      </c>
      <c r="G169" s="11">
        <v>54255.24</v>
      </c>
      <c r="H169" s="11">
        <v>11</v>
      </c>
      <c r="I169" s="12">
        <v>55</v>
      </c>
      <c r="J169" s="15" t="str">
        <f>IF(Table1[[#This Row],[Treatment Cost]]&gt;75000,"HIGH COST","LOW COST")</f>
        <v>LOW COST</v>
      </c>
      <c r="K169" s="15" t="str">
        <f>IF(Table1[[#This Row],[Age]]&gt;=60,"Senior Citizen",IF(AND(Table1[[#This Row],[Age]]&gt;=18,Table1[[#This Row],[Age]]&lt;60),"Adult",IF(Table1[[#This Row],[Age]]&lt;18,"Child")))</f>
        <v>Adult</v>
      </c>
      <c r="L169" s="19"/>
    </row>
    <row r="170" spans="1:12" x14ac:dyDescent="0.25">
      <c r="A170" s="11" t="s">
        <v>195</v>
      </c>
      <c r="B170" s="11" t="s">
        <v>36</v>
      </c>
      <c r="C170" s="11" t="s">
        <v>23</v>
      </c>
      <c r="D170" s="11" t="s">
        <v>12</v>
      </c>
      <c r="E170" s="11" t="s">
        <v>29</v>
      </c>
      <c r="F170" s="11">
        <v>52</v>
      </c>
      <c r="G170" s="11">
        <v>81059.259999999995</v>
      </c>
      <c r="H170" s="11">
        <v>18</v>
      </c>
      <c r="I170" s="12">
        <v>93</v>
      </c>
      <c r="J170" s="15" t="str">
        <f>IF(Table1[[#This Row],[Treatment Cost]]&gt;75000,"HIGH COST","LOW COST")</f>
        <v>HIGH COST</v>
      </c>
      <c r="K170" s="15" t="str">
        <f>IF(Table1[[#This Row],[Age]]&gt;=60,"Senior Citizen",IF(AND(Table1[[#This Row],[Age]]&gt;=18,Table1[[#This Row],[Age]]&lt;60),"Adult",IF(Table1[[#This Row],[Age]]&lt;18,"Child")))</f>
        <v>Adult</v>
      </c>
      <c r="L170" s="19"/>
    </row>
    <row r="171" spans="1:12" x14ac:dyDescent="0.25">
      <c r="A171" s="11" t="s">
        <v>196</v>
      </c>
      <c r="B171" s="11" t="s">
        <v>31</v>
      </c>
      <c r="C171" s="11" t="s">
        <v>20</v>
      </c>
      <c r="D171" s="11" t="s">
        <v>24</v>
      </c>
      <c r="E171" s="11" t="s">
        <v>17</v>
      </c>
      <c r="F171" s="11">
        <v>65</v>
      </c>
      <c r="G171" s="11">
        <v>181154.23</v>
      </c>
      <c r="H171" s="11">
        <v>11</v>
      </c>
      <c r="I171" s="12">
        <v>65</v>
      </c>
      <c r="J171" s="15" t="str">
        <f>IF(Table1[[#This Row],[Treatment Cost]]&gt;75000,"HIGH COST","LOW COST")</f>
        <v>HIGH COST</v>
      </c>
      <c r="K171" s="15" t="str">
        <f>IF(Table1[[#This Row],[Age]]&gt;=60,"Senior Citizen",IF(AND(Table1[[#This Row],[Age]]&gt;=18,Table1[[#This Row],[Age]]&lt;60),"Adult",IF(Table1[[#This Row],[Age]]&lt;18,"Child")))</f>
        <v>Senior Citizen</v>
      </c>
      <c r="L171" s="19"/>
    </row>
    <row r="172" spans="1:12" x14ac:dyDescent="0.25">
      <c r="A172" s="11" t="s">
        <v>197</v>
      </c>
      <c r="B172" s="11" t="s">
        <v>36</v>
      </c>
      <c r="C172" s="11" t="s">
        <v>20</v>
      </c>
      <c r="D172" s="11" t="s">
        <v>24</v>
      </c>
      <c r="E172" s="11" t="s">
        <v>13</v>
      </c>
      <c r="F172" s="11">
        <v>26</v>
      </c>
      <c r="G172" s="11">
        <v>12634.54</v>
      </c>
      <c r="H172" s="11">
        <v>15</v>
      </c>
      <c r="I172" s="12">
        <v>90</v>
      </c>
      <c r="J172" s="15" t="str">
        <f>IF(Table1[[#This Row],[Treatment Cost]]&gt;75000,"HIGH COST","LOW COST")</f>
        <v>LOW COST</v>
      </c>
      <c r="K172" s="15" t="str">
        <f>IF(Table1[[#This Row],[Age]]&gt;=60,"Senior Citizen",IF(AND(Table1[[#This Row],[Age]]&gt;=18,Table1[[#This Row],[Age]]&lt;60),"Adult",IF(Table1[[#This Row],[Age]]&lt;18,"Child")))</f>
        <v>Adult</v>
      </c>
      <c r="L172" s="19"/>
    </row>
    <row r="173" spans="1:12" x14ac:dyDescent="0.25">
      <c r="A173" s="11" t="s">
        <v>198</v>
      </c>
      <c r="B173" s="11" t="s">
        <v>15</v>
      </c>
      <c r="C173" s="11" t="s">
        <v>20</v>
      </c>
      <c r="D173" s="11" t="s">
        <v>16</v>
      </c>
      <c r="E173" s="11" t="s">
        <v>17</v>
      </c>
      <c r="F173" s="11">
        <v>59</v>
      </c>
      <c r="G173" s="11">
        <v>5146.29</v>
      </c>
      <c r="H173" s="11">
        <v>13</v>
      </c>
      <c r="I173" s="12">
        <v>72</v>
      </c>
      <c r="J173" s="15" t="str">
        <f>IF(Table1[[#This Row],[Treatment Cost]]&gt;75000,"HIGH COST","LOW COST")</f>
        <v>LOW COST</v>
      </c>
      <c r="K173" s="15" t="str">
        <f>IF(Table1[[#This Row],[Age]]&gt;=60,"Senior Citizen",IF(AND(Table1[[#This Row],[Age]]&gt;=18,Table1[[#This Row],[Age]]&lt;60),"Adult",IF(Table1[[#This Row],[Age]]&lt;18,"Child")))</f>
        <v>Adult</v>
      </c>
      <c r="L173" s="19"/>
    </row>
    <row r="174" spans="1:12" x14ac:dyDescent="0.25">
      <c r="A174" s="11" t="s">
        <v>199</v>
      </c>
      <c r="B174" s="11" t="s">
        <v>31</v>
      </c>
      <c r="C174" s="11" t="s">
        <v>11</v>
      </c>
      <c r="D174" s="11" t="s">
        <v>12</v>
      </c>
      <c r="E174" s="11" t="s">
        <v>17</v>
      </c>
      <c r="F174" s="11">
        <v>63</v>
      </c>
      <c r="G174" s="11">
        <v>92018.23</v>
      </c>
      <c r="H174" s="11">
        <v>13</v>
      </c>
      <c r="I174" s="12">
        <v>75</v>
      </c>
      <c r="J174" s="15" t="str">
        <f>IF(Table1[[#This Row],[Treatment Cost]]&gt;75000,"HIGH COST","LOW COST")</f>
        <v>HIGH COST</v>
      </c>
      <c r="K174" s="15" t="str">
        <f>IF(Table1[[#This Row],[Age]]&gt;=60,"Senior Citizen",IF(AND(Table1[[#This Row],[Age]]&gt;=18,Table1[[#This Row],[Age]]&lt;60),"Adult",IF(Table1[[#This Row],[Age]]&lt;18,"Child")))</f>
        <v>Senior Citizen</v>
      </c>
      <c r="L174" s="19"/>
    </row>
    <row r="175" spans="1:12" x14ac:dyDescent="0.25">
      <c r="A175" s="11" t="s">
        <v>200</v>
      </c>
      <c r="B175" s="11" t="s">
        <v>36</v>
      </c>
      <c r="C175" s="11" t="s">
        <v>11</v>
      </c>
      <c r="D175" s="11" t="s">
        <v>24</v>
      </c>
      <c r="E175" s="11" t="s">
        <v>13</v>
      </c>
      <c r="F175" s="11">
        <v>54</v>
      </c>
      <c r="G175" s="11">
        <v>84955.1</v>
      </c>
      <c r="H175" s="11">
        <v>25</v>
      </c>
      <c r="I175" s="12">
        <v>91</v>
      </c>
      <c r="J175" s="15" t="str">
        <f>IF(Table1[[#This Row],[Treatment Cost]]&gt;75000,"HIGH COST","LOW COST")</f>
        <v>HIGH COST</v>
      </c>
      <c r="K175" s="15" t="str">
        <f>IF(Table1[[#This Row],[Age]]&gt;=60,"Senior Citizen",IF(AND(Table1[[#This Row],[Age]]&gt;=18,Table1[[#This Row],[Age]]&lt;60),"Adult",IF(Table1[[#This Row],[Age]]&lt;18,"Child")))</f>
        <v>Adult</v>
      </c>
      <c r="L175" s="19"/>
    </row>
    <row r="176" spans="1:12" x14ac:dyDescent="0.25">
      <c r="A176" s="11" t="s">
        <v>201</v>
      </c>
      <c r="B176" s="11" t="s">
        <v>34</v>
      </c>
      <c r="C176" s="11" t="s">
        <v>20</v>
      </c>
      <c r="D176" s="11" t="s">
        <v>21</v>
      </c>
      <c r="E176" s="11" t="s">
        <v>29</v>
      </c>
      <c r="F176" s="11">
        <v>9</v>
      </c>
      <c r="G176" s="11">
        <v>140185.46</v>
      </c>
      <c r="H176" s="11">
        <v>2</v>
      </c>
      <c r="I176" s="12">
        <v>73</v>
      </c>
      <c r="J176" s="15" t="str">
        <f>IF(Table1[[#This Row],[Treatment Cost]]&gt;75000,"HIGH COST","LOW COST")</f>
        <v>HIGH COST</v>
      </c>
      <c r="K176" s="15" t="str">
        <f>IF(Table1[[#This Row],[Age]]&gt;=60,"Senior Citizen",IF(AND(Table1[[#This Row],[Age]]&gt;=18,Table1[[#This Row],[Age]]&lt;60),"Adult",IF(Table1[[#This Row],[Age]]&lt;18,"Child")))</f>
        <v>Child</v>
      </c>
      <c r="L176" s="19"/>
    </row>
    <row r="177" spans="1:12" x14ac:dyDescent="0.25">
      <c r="A177" s="11" t="s">
        <v>202</v>
      </c>
      <c r="B177" s="11" t="s">
        <v>31</v>
      </c>
      <c r="C177" s="11" t="s">
        <v>23</v>
      </c>
      <c r="D177" s="11" t="s">
        <v>12</v>
      </c>
      <c r="E177" s="11" t="s">
        <v>29</v>
      </c>
      <c r="F177" s="11">
        <v>10</v>
      </c>
      <c r="G177" s="11">
        <v>39900.1</v>
      </c>
      <c r="H177" s="11">
        <v>23</v>
      </c>
      <c r="I177" s="12">
        <v>57</v>
      </c>
      <c r="J177" s="15" t="str">
        <f>IF(Table1[[#This Row],[Treatment Cost]]&gt;75000,"HIGH COST","LOW COST")</f>
        <v>LOW COST</v>
      </c>
      <c r="K177" s="15" t="str">
        <f>IF(Table1[[#This Row],[Age]]&gt;=60,"Senior Citizen",IF(AND(Table1[[#This Row],[Age]]&gt;=18,Table1[[#This Row],[Age]]&lt;60),"Adult",IF(Table1[[#This Row],[Age]]&lt;18,"Child")))</f>
        <v>Child</v>
      </c>
      <c r="L177" s="19"/>
    </row>
    <row r="178" spans="1:12" x14ac:dyDescent="0.25">
      <c r="A178" s="11" t="s">
        <v>203</v>
      </c>
      <c r="B178" s="11" t="s">
        <v>34</v>
      </c>
      <c r="C178" s="11" t="s">
        <v>40</v>
      </c>
      <c r="D178" s="11" t="s">
        <v>12</v>
      </c>
      <c r="E178" s="11" t="s">
        <v>29</v>
      </c>
      <c r="F178" s="11">
        <v>58</v>
      </c>
      <c r="G178" s="11">
        <v>60485.38</v>
      </c>
      <c r="H178" s="11">
        <v>28</v>
      </c>
      <c r="I178" s="12">
        <v>63</v>
      </c>
      <c r="J178" s="15" t="str">
        <f>IF(Table1[[#This Row],[Treatment Cost]]&gt;75000,"HIGH COST","LOW COST")</f>
        <v>LOW COST</v>
      </c>
      <c r="K178" s="15" t="str">
        <f>IF(Table1[[#This Row],[Age]]&gt;=60,"Senior Citizen",IF(AND(Table1[[#This Row],[Age]]&gt;=18,Table1[[#This Row],[Age]]&lt;60),"Adult",IF(Table1[[#This Row],[Age]]&lt;18,"Child")))</f>
        <v>Adult</v>
      </c>
      <c r="L178" s="19"/>
    </row>
    <row r="179" spans="1:12" x14ac:dyDescent="0.25">
      <c r="A179" s="11" t="s">
        <v>204</v>
      </c>
      <c r="B179" s="11" t="s">
        <v>36</v>
      </c>
      <c r="C179" s="11" t="s">
        <v>11</v>
      </c>
      <c r="D179" s="11" t="s">
        <v>16</v>
      </c>
      <c r="E179" s="11" t="s">
        <v>29</v>
      </c>
      <c r="F179" s="11">
        <v>67</v>
      </c>
      <c r="G179" s="11">
        <v>23908.37</v>
      </c>
      <c r="H179" s="11">
        <v>14</v>
      </c>
      <c r="I179" s="12">
        <v>60</v>
      </c>
      <c r="J179" s="15" t="str">
        <f>IF(Table1[[#This Row],[Treatment Cost]]&gt;75000,"HIGH COST","LOW COST")</f>
        <v>LOW COST</v>
      </c>
      <c r="K179" s="15" t="str">
        <f>IF(Table1[[#This Row],[Age]]&gt;=60,"Senior Citizen",IF(AND(Table1[[#This Row],[Age]]&gt;=18,Table1[[#This Row],[Age]]&lt;60),"Adult",IF(Table1[[#This Row],[Age]]&lt;18,"Child")))</f>
        <v>Senior Citizen</v>
      </c>
      <c r="L179" s="19"/>
    </row>
    <row r="180" spans="1:12" x14ac:dyDescent="0.25">
      <c r="A180" s="11" t="s">
        <v>205</v>
      </c>
      <c r="B180" s="11" t="s">
        <v>36</v>
      </c>
      <c r="C180" s="11" t="s">
        <v>23</v>
      </c>
      <c r="D180" s="11" t="s">
        <v>16</v>
      </c>
      <c r="E180" s="11" t="s">
        <v>13</v>
      </c>
      <c r="F180" s="11">
        <v>1</v>
      </c>
      <c r="G180" s="11">
        <v>128384.23</v>
      </c>
      <c r="H180" s="11">
        <v>8</v>
      </c>
      <c r="I180" s="12">
        <v>83</v>
      </c>
      <c r="J180" s="15" t="str">
        <f>IF(Table1[[#This Row],[Treatment Cost]]&gt;75000,"HIGH COST","LOW COST")</f>
        <v>HIGH COST</v>
      </c>
      <c r="K180" s="15" t="str">
        <f>IF(Table1[[#This Row],[Age]]&gt;=60,"Senior Citizen",IF(AND(Table1[[#This Row],[Age]]&gt;=18,Table1[[#This Row],[Age]]&lt;60),"Adult",IF(Table1[[#This Row],[Age]]&lt;18,"Child")))</f>
        <v>Child</v>
      </c>
      <c r="L180" s="19"/>
    </row>
    <row r="181" spans="1:12" x14ac:dyDescent="0.25">
      <c r="A181" s="11" t="s">
        <v>206</v>
      </c>
      <c r="B181" s="11" t="s">
        <v>10</v>
      </c>
      <c r="C181" s="11" t="s">
        <v>23</v>
      </c>
      <c r="D181" s="11" t="s">
        <v>16</v>
      </c>
      <c r="E181" s="11" t="s">
        <v>13</v>
      </c>
      <c r="F181" s="11">
        <v>12</v>
      </c>
      <c r="G181" s="11">
        <v>101610.02</v>
      </c>
      <c r="H181" s="11">
        <v>17</v>
      </c>
      <c r="I181" s="12">
        <v>91</v>
      </c>
      <c r="J181" s="15" t="str">
        <f>IF(Table1[[#This Row],[Treatment Cost]]&gt;75000,"HIGH COST","LOW COST")</f>
        <v>HIGH COST</v>
      </c>
      <c r="K181" s="15" t="str">
        <f>IF(Table1[[#This Row],[Age]]&gt;=60,"Senior Citizen",IF(AND(Table1[[#This Row],[Age]]&gt;=18,Table1[[#This Row],[Age]]&lt;60),"Adult",IF(Table1[[#This Row],[Age]]&lt;18,"Child")))</f>
        <v>Child</v>
      </c>
      <c r="L181" s="19"/>
    </row>
    <row r="182" spans="1:12" x14ac:dyDescent="0.25">
      <c r="A182" s="11" t="s">
        <v>207</v>
      </c>
      <c r="B182" s="11" t="s">
        <v>34</v>
      </c>
      <c r="C182" s="11" t="s">
        <v>11</v>
      </c>
      <c r="D182" s="11" t="s">
        <v>24</v>
      </c>
      <c r="E182" s="11" t="s">
        <v>29</v>
      </c>
      <c r="F182" s="11">
        <v>36</v>
      </c>
      <c r="G182" s="11">
        <v>148837.57</v>
      </c>
      <c r="H182" s="11">
        <v>24</v>
      </c>
      <c r="I182" s="12">
        <v>81</v>
      </c>
      <c r="J182" s="15" t="str">
        <f>IF(Table1[[#This Row],[Treatment Cost]]&gt;75000,"HIGH COST","LOW COST")</f>
        <v>HIGH COST</v>
      </c>
      <c r="K182" s="15" t="str">
        <f>IF(Table1[[#This Row],[Age]]&gt;=60,"Senior Citizen",IF(AND(Table1[[#This Row],[Age]]&gt;=18,Table1[[#This Row],[Age]]&lt;60),"Adult",IF(Table1[[#This Row],[Age]]&lt;18,"Child")))</f>
        <v>Adult</v>
      </c>
      <c r="L182" s="19"/>
    </row>
    <row r="183" spans="1:12" x14ac:dyDescent="0.25">
      <c r="A183" s="11" t="s">
        <v>208</v>
      </c>
      <c r="B183" s="11" t="s">
        <v>34</v>
      </c>
      <c r="C183" s="11" t="s">
        <v>23</v>
      </c>
      <c r="D183" s="11" t="s">
        <v>21</v>
      </c>
      <c r="E183" s="11" t="s">
        <v>17</v>
      </c>
      <c r="F183" s="11">
        <v>7</v>
      </c>
      <c r="G183" s="11">
        <v>152513.39000000001</v>
      </c>
      <c r="H183" s="11">
        <v>12</v>
      </c>
      <c r="I183" s="12">
        <v>54</v>
      </c>
      <c r="J183" s="15" t="str">
        <f>IF(Table1[[#This Row],[Treatment Cost]]&gt;75000,"HIGH COST","LOW COST")</f>
        <v>HIGH COST</v>
      </c>
      <c r="K183" s="15" t="str">
        <f>IF(Table1[[#This Row],[Age]]&gt;=60,"Senior Citizen",IF(AND(Table1[[#This Row],[Age]]&gt;=18,Table1[[#This Row],[Age]]&lt;60),"Adult",IF(Table1[[#This Row],[Age]]&lt;18,"Child")))</f>
        <v>Child</v>
      </c>
      <c r="L183" s="19"/>
    </row>
    <row r="184" spans="1:12" x14ac:dyDescent="0.25">
      <c r="A184" s="11" t="s">
        <v>209</v>
      </c>
      <c r="B184" s="11" t="s">
        <v>34</v>
      </c>
      <c r="C184" s="11" t="s">
        <v>20</v>
      </c>
      <c r="D184" s="11" t="s">
        <v>16</v>
      </c>
      <c r="E184" s="11" t="s">
        <v>17</v>
      </c>
      <c r="F184" s="11">
        <v>71</v>
      </c>
      <c r="G184" s="11">
        <v>137862.76</v>
      </c>
      <c r="H184" s="11">
        <v>19</v>
      </c>
      <c r="I184" s="12">
        <v>96</v>
      </c>
      <c r="J184" s="15" t="str">
        <f>IF(Table1[[#This Row],[Treatment Cost]]&gt;75000,"HIGH COST","LOW COST")</f>
        <v>HIGH COST</v>
      </c>
      <c r="K184" s="15" t="str">
        <f>IF(Table1[[#This Row],[Age]]&gt;=60,"Senior Citizen",IF(AND(Table1[[#This Row],[Age]]&gt;=18,Table1[[#This Row],[Age]]&lt;60),"Adult",IF(Table1[[#This Row],[Age]]&lt;18,"Child")))</f>
        <v>Senior Citizen</v>
      </c>
      <c r="L184" s="19"/>
    </row>
    <row r="185" spans="1:12" x14ac:dyDescent="0.25">
      <c r="A185" s="11" t="s">
        <v>210</v>
      </c>
      <c r="B185" s="11" t="s">
        <v>34</v>
      </c>
      <c r="C185" s="11" t="s">
        <v>11</v>
      </c>
      <c r="D185" s="11" t="s">
        <v>21</v>
      </c>
      <c r="E185" s="11" t="s">
        <v>13</v>
      </c>
      <c r="F185" s="11">
        <v>30</v>
      </c>
      <c r="G185" s="11">
        <v>152735.66</v>
      </c>
      <c r="H185" s="11">
        <v>3</v>
      </c>
      <c r="I185" s="12">
        <v>74</v>
      </c>
      <c r="J185" s="15" t="str">
        <f>IF(Table1[[#This Row],[Treatment Cost]]&gt;75000,"HIGH COST","LOW COST")</f>
        <v>HIGH COST</v>
      </c>
      <c r="K185" s="15" t="str">
        <f>IF(Table1[[#This Row],[Age]]&gt;=60,"Senior Citizen",IF(AND(Table1[[#This Row],[Age]]&gt;=18,Table1[[#This Row],[Age]]&lt;60),"Adult",IF(Table1[[#This Row],[Age]]&lt;18,"Child")))</f>
        <v>Adult</v>
      </c>
      <c r="L185" s="19"/>
    </row>
    <row r="186" spans="1:12" x14ac:dyDescent="0.25">
      <c r="A186" s="11" t="s">
        <v>211</v>
      </c>
      <c r="B186" s="11" t="s">
        <v>19</v>
      </c>
      <c r="C186" s="11" t="s">
        <v>11</v>
      </c>
      <c r="D186" s="11" t="s">
        <v>16</v>
      </c>
      <c r="E186" s="11" t="s">
        <v>29</v>
      </c>
      <c r="F186" s="11">
        <v>14</v>
      </c>
      <c r="G186" s="11">
        <v>149110.43</v>
      </c>
      <c r="H186" s="11">
        <v>24</v>
      </c>
      <c r="I186" s="12">
        <v>63</v>
      </c>
      <c r="J186" s="15" t="str">
        <f>IF(Table1[[#This Row],[Treatment Cost]]&gt;75000,"HIGH COST","LOW COST")</f>
        <v>HIGH COST</v>
      </c>
      <c r="K186" s="15" t="str">
        <f>IF(Table1[[#This Row],[Age]]&gt;=60,"Senior Citizen",IF(AND(Table1[[#This Row],[Age]]&gt;=18,Table1[[#This Row],[Age]]&lt;60),"Adult",IF(Table1[[#This Row],[Age]]&lt;18,"Child")))</f>
        <v>Child</v>
      </c>
      <c r="L186" s="19"/>
    </row>
    <row r="187" spans="1:12" x14ac:dyDescent="0.25">
      <c r="A187" s="11" t="s">
        <v>212</v>
      </c>
      <c r="B187" s="11" t="s">
        <v>15</v>
      </c>
      <c r="C187" s="11" t="s">
        <v>40</v>
      </c>
      <c r="D187" s="11" t="s">
        <v>16</v>
      </c>
      <c r="E187" s="11" t="s">
        <v>29</v>
      </c>
      <c r="F187" s="11">
        <v>8</v>
      </c>
      <c r="G187" s="11">
        <v>84348.04</v>
      </c>
      <c r="H187" s="11">
        <v>5</v>
      </c>
      <c r="I187" s="12">
        <v>69</v>
      </c>
      <c r="J187" s="15" t="str">
        <f>IF(Table1[[#This Row],[Treatment Cost]]&gt;75000,"HIGH COST","LOW COST")</f>
        <v>HIGH COST</v>
      </c>
      <c r="K187" s="15" t="str">
        <f>IF(Table1[[#This Row],[Age]]&gt;=60,"Senior Citizen",IF(AND(Table1[[#This Row],[Age]]&gt;=18,Table1[[#This Row],[Age]]&lt;60),"Adult",IF(Table1[[#This Row],[Age]]&lt;18,"Child")))</f>
        <v>Child</v>
      </c>
      <c r="L187" s="19"/>
    </row>
    <row r="188" spans="1:12" x14ac:dyDescent="0.25">
      <c r="A188" s="11" t="s">
        <v>213</v>
      </c>
      <c r="B188" s="11" t="s">
        <v>15</v>
      </c>
      <c r="C188" s="11" t="s">
        <v>11</v>
      </c>
      <c r="D188" s="11" t="s">
        <v>16</v>
      </c>
      <c r="E188" s="11" t="s">
        <v>17</v>
      </c>
      <c r="F188" s="11">
        <v>49</v>
      </c>
      <c r="G188" s="11">
        <v>146382.39000000001</v>
      </c>
      <c r="H188" s="11">
        <v>23</v>
      </c>
      <c r="I188" s="12">
        <v>54</v>
      </c>
      <c r="J188" s="15" t="str">
        <f>IF(Table1[[#This Row],[Treatment Cost]]&gt;75000,"HIGH COST","LOW COST")</f>
        <v>HIGH COST</v>
      </c>
      <c r="K188" s="15" t="str">
        <f>IF(Table1[[#This Row],[Age]]&gt;=60,"Senior Citizen",IF(AND(Table1[[#This Row],[Age]]&gt;=18,Table1[[#This Row],[Age]]&lt;60),"Adult",IF(Table1[[#This Row],[Age]]&lt;18,"Child")))</f>
        <v>Adult</v>
      </c>
      <c r="L188" s="19"/>
    </row>
    <row r="189" spans="1:12" x14ac:dyDescent="0.25">
      <c r="A189" s="11" t="s">
        <v>214</v>
      </c>
      <c r="B189" s="11" t="s">
        <v>10</v>
      </c>
      <c r="C189" s="11" t="s">
        <v>40</v>
      </c>
      <c r="D189" s="11" t="s">
        <v>12</v>
      </c>
      <c r="E189" s="11" t="s">
        <v>17</v>
      </c>
      <c r="F189" s="11">
        <v>1</v>
      </c>
      <c r="G189" s="11">
        <v>173398.27</v>
      </c>
      <c r="H189" s="11">
        <v>2</v>
      </c>
      <c r="I189" s="12">
        <v>54</v>
      </c>
      <c r="J189" s="15" t="str">
        <f>IF(Table1[[#This Row],[Treatment Cost]]&gt;75000,"HIGH COST","LOW COST")</f>
        <v>HIGH COST</v>
      </c>
      <c r="K189" s="15" t="str">
        <f>IF(Table1[[#This Row],[Age]]&gt;=60,"Senior Citizen",IF(AND(Table1[[#This Row],[Age]]&gt;=18,Table1[[#This Row],[Age]]&lt;60),"Adult",IF(Table1[[#This Row],[Age]]&lt;18,"Child")))</f>
        <v>Child</v>
      </c>
      <c r="L189" s="19"/>
    </row>
    <row r="190" spans="1:12" x14ac:dyDescent="0.25">
      <c r="A190" s="11" t="s">
        <v>215</v>
      </c>
      <c r="B190" s="11" t="s">
        <v>36</v>
      </c>
      <c r="C190" s="11" t="s">
        <v>20</v>
      </c>
      <c r="D190" s="11" t="s">
        <v>21</v>
      </c>
      <c r="E190" s="11" t="s">
        <v>29</v>
      </c>
      <c r="F190" s="11">
        <v>42</v>
      </c>
      <c r="G190" s="11">
        <v>41399.83</v>
      </c>
      <c r="H190" s="11">
        <v>16</v>
      </c>
      <c r="I190" s="12">
        <v>49</v>
      </c>
      <c r="J190" s="15" t="str">
        <f>IF(Table1[[#This Row],[Treatment Cost]]&gt;75000,"HIGH COST","LOW COST")</f>
        <v>LOW COST</v>
      </c>
      <c r="K190" s="15" t="str">
        <f>IF(Table1[[#This Row],[Age]]&gt;=60,"Senior Citizen",IF(AND(Table1[[#This Row],[Age]]&gt;=18,Table1[[#This Row],[Age]]&lt;60),"Adult",IF(Table1[[#This Row],[Age]]&lt;18,"Child")))</f>
        <v>Adult</v>
      </c>
      <c r="L190" s="19"/>
    </row>
    <row r="191" spans="1:12" x14ac:dyDescent="0.25">
      <c r="A191" s="11" t="s">
        <v>216</v>
      </c>
      <c r="B191" s="11" t="s">
        <v>34</v>
      </c>
      <c r="C191" s="11" t="s">
        <v>20</v>
      </c>
      <c r="D191" s="11" t="s">
        <v>24</v>
      </c>
      <c r="E191" s="11" t="s">
        <v>29</v>
      </c>
      <c r="F191" s="11">
        <v>57</v>
      </c>
      <c r="G191" s="11">
        <v>104618.52</v>
      </c>
      <c r="H191" s="11">
        <v>8</v>
      </c>
      <c r="I191" s="12">
        <v>80</v>
      </c>
      <c r="J191" s="15" t="str">
        <f>IF(Table1[[#This Row],[Treatment Cost]]&gt;75000,"HIGH COST","LOW COST")</f>
        <v>HIGH COST</v>
      </c>
      <c r="K191" s="15" t="str">
        <f>IF(Table1[[#This Row],[Age]]&gt;=60,"Senior Citizen",IF(AND(Table1[[#This Row],[Age]]&gt;=18,Table1[[#This Row],[Age]]&lt;60),"Adult",IF(Table1[[#This Row],[Age]]&lt;18,"Child")))</f>
        <v>Adult</v>
      </c>
      <c r="L191" s="19"/>
    </row>
    <row r="192" spans="1:12" x14ac:dyDescent="0.25">
      <c r="A192" s="11" t="s">
        <v>217</v>
      </c>
      <c r="B192" s="11" t="s">
        <v>19</v>
      </c>
      <c r="C192" s="11" t="s">
        <v>23</v>
      </c>
      <c r="D192" s="11" t="s">
        <v>26</v>
      </c>
      <c r="E192" s="11" t="s">
        <v>17</v>
      </c>
      <c r="F192" s="11">
        <v>87</v>
      </c>
      <c r="G192" s="11">
        <v>162146.92000000001</v>
      </c>
      <c r="H192" s="11">
        <v>24</v>
      </c>
      <c r="I192" s="12">
        <v>55</v>
      </c>
      <c r="J192" s="15" t="str">
        <f>IF(Table1[[#This Row],[Treatment Cost]]&gt;75000,"HIGH COST","LOW COST")</f>
        <v>HIGH COST</v>
      </c>
      <c r="K192" s="15" t="str">
        <f>IF(Table1[[#This Row],[Age]]&gt;=60,"Senior Citizen",IF(AND(Table1[[#This Row],[Age]]&gt;=18,Table1[[#This Row],[Age]]&lt;60),"Adult",IF(Table1[[#This Row],[Age]]&lt;18,"Child")))</f>
        <v>Senior Citizen</v>
      </c>
      <c r="L192" s="19"/>
    </row>
    <row r="193" spans="1:12" x14ac:dyDescent="0.25">
      <c r="A193" s="11" t="s">
        <v>218</v>
      </c>
      <c r="B193" s="11" t="s">
        <v>10</v>
      </c>
      <c r="C193" s="11" t="s">
        <v>23</v>
      </c>
      <c r="D193" s="11" t="s">
        <v>21</v>
      </c>
      <c r="E193" s="11" t="s">
        <v>13</v>
      </c>
      <c r="F193" s="11">
        <v>20</v>
      </c>
      <c r="G193" s="11">
        <v>146304.38</v>
      </c>
      <c r="H193" s="11">
        <v>26</v>
      </c>
      <c r="I193" s="12">
        <v>66</v>
      </c>
      <c r="J193" s="15" t="str">
        <f>IF(Table1[[#This Row],[Treatment Cost]]&gt;75000,"HIGH COST","LOW COST")</f>
        <v>HIGH COST</v>
      </c>
      <c r="K193" s="15" t="str">
        <f>IF(Table1[[#This Row],[Age]]&gt;=60,"Senior Citizen",IF(AND(Table1[[#This Row],[Age]]&gt;=18,Table1[[#This Row],[Age]]&lt;60),"Adult",IF(Table1[[#This Row],[Age]]&lt;18,"Child")))</f>
        <v>Adult</v>
      </c>
      <c r="L193" s="19"/>
    </row>
    <row r="194" spans="1:12" x14ac:dyDescent="0.25">
      <c r="A194" s="11" t="s">
        <v>219</v>
      </c>
      <c r="B194" s="11" t="s">
        <v>19</v>
      </c>
      <c r="C194" s="11" t="s">
        <v>20</v>
      </c>
      <c r="D194" s="11" t="s">
        <v>24</v>
      </c>
      <c r="E194" s="11" t="s">
        <v>13</v>
      </c>
      <c r="F194" s="11">
        <v>50</v>
      </c>
      <c r="G194" s="11">
        <v>93274.51</v>
      </c>
      <c r="H194" s="11">
        <v>12</v>
      </c>
      <c r="I194" s="12">
        <v>88</v>
      </c>
      <c r="J194" s="15" t="str">
        <f>IF(Table1[[#This Row],[Treatment Cost]]&gt;75000,"HIGH COST","LOW COST")</f>
        <v>HIGH COST</v>
      </c>
      <c r="K194" s="15" t="str">
        <f>IF(Table1[[#This Row],[Age]]&gt;=60,"Senior Citizen",IF(AND(Table1[[#This Row],[Age]]&gt;=18,Table1[[#This Row],[Age]]&lt;60),"Adult",IF(Table1[[#This Row],[Age]]&lt;18,"Child")))</f>
        <v>Adult</v>
      </c>
      <c r="L194" s="19"/>
    </row>
    <row r="195" spans="1:12" x14ac:dyDescent="0.25">
      <c r="A195" s="11" t="s">
        <v>220</v>
      </c>
      <c r="B195" s="11" t="s">
        <v>34</v>
      </c>
      <c r="C195" s="11" t="s">
        <v>20</v>
      </c>
      <c r="D195" s="11" t="s">
        <v>26</v>
      </c>
      <c r="E195" s="11" t="s">
        <v>29</v>
      </c>
      <c r="F195" s="11">
        <v>58</v>
      </c>
      <c r="G195" s="11">
        <v>25109.91</v>
      </c>
      <c r="H195" s="11">
        <v>14</v>
      </c>
      <c r="I195" s="12">
        <v>46</v>
      </c>
      <c r="J195" s="15" t="str">
        <f>IF(Table1[[#This Row],[Treatment Cost]]&gt;75000,"HIGH COST","LOW COST")</f>
        <v>LOW COST</v>
      </c>
      <c r="K195" s="15" t="str">
        <f>IF(Table1[[#This Row],[Age]]&gt;=60,"Senior Citizen",IF(AND(Table1[[#This Row],[Age]]&gt;=18,Table1[[#This Row],[Age]]&lt;60),"Adult",IF(Table1[[#This Row],[Age]]&lt;18,"Child")))</f>
        <v>Adult</v>
      </c>
      <c r="L195" s="19"/>
    </row>
    <row r="196" spans="1:12" x14ac:dyDescent="0.25">
      <c r="A196" s="11" t="s">
        <v>221</v>
      </c>
      <c r="B196" s="11" t="s">
        <v>34</v>
      </c>
      <c r="C196" s="11" t="s">
        <v>23</v>
      </c>
      <c r="D196" s="11" t="s">
        <v>12</v>
      </c>
      <c r="E196" s="11" t="s">
        <v>29</v>
      </c>
      <c r="F196" s="11">
        <v>17</v>
      </c>
      <c r="G196" s="11">
        <v>123754.79</v>
      </c>
      <c r="H196" s="11">
        <v>24</v>
      </c>
      <c r="I196" s="12">
        <v>60</v>
      </c>
      <c r="J196" s="15" t="str">
        <f>IF(Table1[[#This Row],[Treatment Cost]]&gt;75000,"HIGH COST","LOW COST")</f>
        <v>HIGH COST</v>
      </c>
      <c r="K196" s="15" t="str">
        <f>IF(Table1[[#This Row],[Age]]&gt;=60,"Senior Citizen",IF(AND(Table1[[#This Row],[Age]]&gt;=18,Table1[[#This Row],[Age]]&lt;60),"Adult",IF(Table1[[#This Row],[Age]]&lt;18,"Child")))</f>
        <v>Child</v>
      </c>
      <c r="L196" s="19"/>
    </row>
    <row r="197" spans="1:12" x14ac:dyDescent="0.25">
      <c r="A197" s="11" t="s">
        <v>222</v>
      </c>
      <c r="B197" s="11" t="s">
        <v>19</v>
      </c>
      <c r="C197" s="11" t="s">
        <v>11</v>
      </c>
      <c r="D197" s="11" t="s">
        <v>21</v>
      </c>
      <c r="E197" s="11" t="s">
        <v>29</v>
      </c>
      <c r="F197" s="11">
        <v>67</v>
      </c>
      <c r="G197" s="11">
        <v>176116.52</v>
      </c>
      <c r="H197" s="11">
        <v>28</v>
      </c>
      <c r="I197" s="12">
        <v>53</v>
      </c>
      <c r="J197" s="15" t="str">
        <f>IF(Table1[[#This Row],[Treatment Cost]]&gt;75000,"HIGH COST","LOW COST")</f>
        <v>HIGH COST</v>
      </c>
      <c r="K197" s="15" t="str">
        <f>IF(Table1[[#This Row],[Age]]&gt;=60,"Senior Citizen",IF(AND(Table1[[#This Row],[Age]]&gt;=18,Table1[[#This Row],[Age]]&lt;60),"Adult",IF(Table1[[#This Row],[Age]]&lt;18,"Child")))</f>
        <v>Senior Citizen</v>
      </c>
      <c r="L197" s="19"/>
    </row>
    <row r="198" spans="1:12" x14ac:dyDescent="0.25">
      <c r="A198" s="11" t="s">
        <v>223</v>
      </c>
      <c r="B198" s="11" t="s">
        <v>31</v>
      </c>
      <c r="C198" s="11" t="s">
        <v>20</v>
      </c>
      <c r="D198" s="11" t="s">
        <v>24</v>
      </c>
      <c r="E198" s="11" t="s">
        <v>29</v>
      </c>
      <c r="F198" s="11">
        <v>72</v>
      </c>
      <c r="G198" s="11">
        <v>56812.91</v>
      </c>
      <c r="H198" s="11">
        <v>6</v>
      </c>
      <c r="I198" s="12">
        <v>68</v>
      </c>
      <c r="J198" s="15" t="str">
        <f>IF(Table1[[#This Row],[Treatment Cost]]&gt;75000,"HIGH COST","LOW COST")</f>
        <v>LOW COST</v>
      </c>
      <c r="K198" s="15" t="str">
        <f>IF(Table1[[#This Row],[Age]]&gt;=60,"Senior Citizen",IF(AND(Table1[[#This Row],[Age]]&gt;=18,Table1[[#This Row],[Age]]&lt;60),"Adult",IF(Table1[[#This Row],[Age]]&lt;18,"Child")))</f>
        <v>Senior Citizen</v>
      </c>
      <c r="L198" s="19"/>
    </row>
    <row r="199" spans="1:12" x14ac:dyDescent="0.25">
      <c r="A199" s="11" t="s">
        <v>224</v>
      </c>
      <c r="B199" s="11" t="s">
        <v>34</v>
      </c>
      <c r="C199" s="11" t="s">
        <v>20</v>
      </c>
      <c r="D199" s="11" t="s">
        <v>12</v>
      </c>
      <c r="E199" s="11" t="s">
        <v>29</v>
      </c>
      <c r="F199" s="11">
        <v>54</v>
      </c>
      <c r="G199" s="11">
        <v>52589.51</v>
      </c>
      <c r="H199" s="11">
        <v>16</v>
      </c>
      <c r="I199" s="12">
        <v>98</v>
      </c>
      <c r="J199" s="15" t="str">
        <f>IF(Table1[[#This Row],[Treatment Cost]]&gt;75000,"HIGH COST","LOW COST")</f>
        <v>LOW COST</v>
      </c>
      <c r="K199" s="15" t="str">
        <f>IF(Table1[[#This Row],[Age]]&gt;=60,"Senior Citizen",IF(AND(Table1[[#This Row],[Age]]&gt;=18,Table1[[#This Row],[Age]]&lt;60),"Adult",IF(Table1[[#This Row],[Age]]&lt;18,"Child")))</f>
        <v>Adult</v>
      </c>
      <c r="L199" s="19"/>
    </row>
    <row r="200" spans="1:12" x14ac:dyDescent="0.25">
      <c r="A200" s="11" t="s">
        <v>225</v>
      </c>
      <c r="B200" s="11" t="s">
        <v>36</v>
      </c>
      <c r="C200" s="11" t="s">
        <v>11</v>
      </c>
      <c r="D200" s="11" t="s">
        <v>21</v>
      </c>
      <c r="E200" s="11" t="s">
        <v>17</v>
      </c>
      <c r="F200" s="11">
        <v>13</v>
      </c>
      <c r="G200" s="11">
        <v>24830.58</v>
      </c>
      <c r="H200" s="11">
        <v>18</v>
      </c>
      <c r="I200" s="12">
        <v>91</v>
      </c>
      <c r="J200" s="15" t="str">
        <f>IF(Table1[[#This Row],[Treatment Cost]]&gt;75000,"HIGH COST","LOW COST")</f>
        <v>LOW COST</v>
      </c>
      <c r="K200" s="15" t="str">
        <f>IF(Table1[[#This Row],[Age]]&gt;=60,"Senior Citizen",IF(AND(Table1[[#This Row],[Age]]&gt;=18,Table1[[#This Row],[Age]]&lt;60),"Adult",IF(Table1[[#This Row],[Age]]&lt;18,"Child")))</f>
        <v>Child</v>
      </c>
      <c r="L200" s="19"/>
    </row>
    <row r="201" spans="1:12" x14ac:dyDescent="0.25">
      <c r="A201" s="11" t="s">
        <v>226</v>
      </c>
      <c r="B201" s="11" t="s">
        <v>19</v>
      </c>
      <c r="C201" s="11" t="s">
        <v>11</v>
      </c>
      <c r="D201" s="11" t="s">
        <v>16</v>
      </c>
      <c r="E201" s="11" t="s">
        <v>13</v>
      </c>
      <c r="F201" s="11">
        <v>45</v>
      </c>
      <c r="G201" s="11">
        <v>32813.519999999997</v>
      </c>
      <c r="H201" s="11">
        <v>13</v>
      </c>
      <c r="I201" s="12">
        <v>84</v>
      </c>
      <c r="J201" s="15" t="str">
        <f>IF(Table1[[#This Row],[Treatment Cost]]&gt;75000,"HIGH COST","LOW COST")</f>
        <v>LOW COST</v>
      </c>
      <c r="K201" s="15" t="str">
        <f>IF(Table1[[#This Row],[Age]]&gt;=60,"Senior Citizen",IF(AND(Table1[[#This Row],[Age]]&gt;=18,Table1[[#This Row],[Age]]&lt;60),"Adult",IF(Table1[[#This Row],[Age]]&lt;18,"Child")))</f>
        <v>Adult</v>
      </c>
      <c r="L201" s="19"/>
    </row>
    <row r="202" spans="1:12" x14ac:dyDescent="0.25">
      <c r="A202" s="11" t="s">
        <v>227</v>
      </c>
      <c r="B202" s="11" t="s">
        <v>15</v>
      </c>
      <c r="C202" s="11" t="s">
        <v>11</v>
      </c>
      <c r="D202" s="11" t="s">
        <v>16</v>
      </c>
      <c r="E202" s="11" t="s">
        <v>17</v>
      </c>
      <c r="F202" s="11">
        <v>35</v>
      </c>
      <c r="G202" s="11">
        <v>101869.41</v>
      </c>
      <c r="H202" s="11">
        <v>20</v>
      </c>
      <c r="I202" s="12">
        <v>69</v>
      </c>
      <c r="J202" s="15" t="str">
        <f>IF(Table1[[#This Row],[Treatment Cost]]&gt;75000,"HIGH COST","LOW COST")</f>
        <v>HIGH COST</v>
      </c>
      <c r="K202" s="15" t="str">
        <f>IF(Table1[[#This Row],[Age]]&gt;=60,"Senior Citizen",IF(AND(Table1[[#This Row],[Age]]&gt;=18,Table1[[#This Row],[Age]]&lt;60),"Adult",IF(Table1[[#This Row],[Age]]&lt;18,"Child")))</f>
        <v>Adult</v>
      </c>
      <c r="L202" s="19"/>
    </row>
    <row r="203" spans="1:12" x14ac:dyDescent="0.25">
      <c r="A203" s="11" t="s">
        <v>228</v>
      </c>
      <c r="B203" s="11" t="s">
        <v>19</v>
      </c>
      <c r="C203" s="11" t="s">
        <v>20</v>
      </c>
      <c r="D203" s="11" t="s">
        <v>21</v>
      </c>
      <c r="E203" s="11" t="s">
        <v>13</v>
      </c>
      <c r="F203" s="11">
        <v>90</v>
      </c>
      <c r="G203" s="11">
        <v>28419.8</v>
      </c>
      <c r="H203" s="11">
        <v>15</v>
      </c>
      <c r="I203" s="12">
        <v>91</v>
      </c>
      <c r="J203" s="15" t="str">
        <f>IF(Table1[[#This Row],[Treatment Cost]]&gt;75000,"HIGH COST","LOW COST")</f>
        <v>LOW COST</v>
      </c>
      <c r="K203" s="15" t="str">
        <f>IF(Table1[[#This Row],[Age]]&gt;=60,"Senior Citizen",IF(AND(Table1[[#This Row],[Age]]&gt;=18,Table1[[#This Row],[Age]]&lt;60),"Adult",IF(Table1[[#This Row],[Age]]&lt;18,"Child")))</f>
        <v>Senior Citizen</v>
      </c>
      <c r="L203" s="19"/>
    </row>
    <row r="204" spans="1:12" x14ac:dyDescent="0.25">
      <c r="A204" s="11" t="s">
        <v>229</v>
      </c>
      <c r="B204" s="11" t="s">
        <v>15</v>
      </c>
      <c r="C204" s="11" t="s">
        <v>20</v>
      </c>
      <c r="D204" s="11" t="s">
        <v>26</v>
      </c>
      <c r="E204" s="11" t="s">
        <v>29</v>
      </c>
      <c r="F204" s="11">
        <v>55</v>
      </c>
      <c r="G204" s="11">
        <v>161060.01</v>
      </c>
      <c r="H204" s="11">
        <v>27</v>
      </c>
      <c r="I204" s="12">
        <v>69</v>
      </c>
      <c r="J204" s="15" t="str">
        <f>IF(Table1[[#This Row],[Treatment Cost]]&gt;75000,"HIGH COST","LOW COST")</f>
        <v>HIGH COST</v>
      </c>
      <c r="K204" s="15" t="str">
        <f>IF(Table1[[#This Row],[Age]]&gt;=60,"Senior Citizen",IF(AND(Table1[[#This Row],[Age]]&gt;=18,Table1[[#This Row],[Age]]&lt;60),"Adult",IF(Table1[[#This Row],[Age]]&lt;18,"Child")))</f>
        <v>Adult</v>
      </c>
      <c r="L204" s="19"/>
    </row>
    <row r="205" spans="1:12" x14ac:dyDescent="0.25">
      <c r="A205" s="11" t="s">
        <v>230</v>
      </c>
      <c r="B205" s="11" t="s">
        <v>36</v>
      </c>
      <c r="C205" s="11" t="s">
        <v>40</v>
      </c>
      <c r="D205" s="11" t="s">
        <v>16</v>
      </c>
      <c r="E205" s="11" t="s">
        <v>13</v>
      </c>
      <c r="F205" s="11">
        <v>23</v>
      </c>
      <c r="G205" s="11">
        <v>162322.45000000001</v>
      </c>
      <c r="H205" s="11">
        <v>25</v>
      </c>
      <c r="I205" s="12">
        <v>97</v>
      </c>
      <c r="J205" s="15" t="str">
        <f>IF(Table1[[#This Row],[Treatment Cost]]&gt;75000,"HIGH COST","LOW COST")</f>
        <v>HIGH COST</v>
      </c>
      <c r="K205" s="15" t="str">
        <f>IF(Table1[[#This Row],[Age]]&gt;=60,"Senior Citizen",IF(AND(Table1[[#This Row],[Age]]&gt;=18,Table1[[#This Row],[Age]]&lt;60),"Adult",IF(Table1[[#This Row],[Age]]&lt;18,"Child")))</f>
        <v>Adult</v>
      </c>
      <c r="L205" s="19"/>
    </row>
    <row r="206" spans="1:12" x14ac:dyDescent="0.25">
      <c r="A206" s="11" t="s">
        <v>231</v>
      </c>
      <c r="B206" s="11" t="s">
        <v>31</v>
      </c>
      <c r="C206" s="11" t="s">
        <v>11</v>
      </c>
      <c r="D206" s="11" t="s">
        <v>21</v>
      </c>
      <c r="E206" s="11" t="s">
        <v>13</v>
      </c>
      <c r="F206" s="11">
        <v>85</v>
      </c>
      <c r="G206" s="11">
        <v>28708.77</v>
      </c>
      <c r="H206" s="11">
        <v>21</v>
      </c>
      <c r="I206" s="12">
        <v>73</v>
      </c>
      <c r="J206" s="15" t="str">
        <f>IF(Table1[[#This Row],[Treatment Cost]]&gt;75000,"HIGH COST","LOW COST")</f>
        <v>LOW COST</v>
      </c>
      <c r="K206" s="15" t="str">
        <f>IF(Table1[[#This Row],[Age]]&gt;=60,"Senior Citizen",IF(AND(Table1[[#This Row],[Age]]&gt;=18,Table1[[#This Row],[Age]]&lt;60),"Adult",IF(Table1[[#This Row],[Age]]&lt;18,"Child")))</f>
        <v>Senior Citizen</v>
      </c>
      <c r="L206" s="19"/>
    </row>
    <row r="207" spans="1:12" x14ac:dyDescent="0.25">
      <c r="A207" s="11" t="s">
        <v>232</v>
      </c>
      <c r="B207" s="11" t="s">
        <v>34</v>
      </c>
      <c r="C207" s="11" t="s">
        <v>11</v>
      </c>
      <c r="D207" s="11" t="s">
        <v>24</v>
      </c>
      <c r="E207" s="11" t="s">
        <v>13</v>
      </c>
      <c r="F207" s="11">
        <v>45</v>
      </c>
      <c r="G207" s="11">
        <v>106594.72</v>
      </c>
      <c r="H207" s="11">
        <v>19</v>
      </c>
      <c r="I207" s="12">
        <v>71</v>
      </c>
      <c r="J207" s="15" t="str">
        <f>IF(Table1[[#This Row],[Treatment Cost]]&gt;75000,"HIGH COST","LOW COST")</f>
        <v>HIGH COST</v>
      </c>
      <c r="K207" s="15" t="str">
        <f>IF(Table1[[#This Row],[Age]]&gt;=60,"Senior Citizen",IF(AND(Table1[[#This Row],[Age]]&gt;=18,Table1[[#This Row],[Age]]&lt;60),"Adult",IF(Table1[[#This Row],[Age]]&lt;18,"Child")))</f>
        <v>Adult</v>
      </c>
      <c r="L207" s="19"/>
    </row>
    <row r="208" spans="1:12" x14ac:dyDescent="0.25">
      <c r="A208" s="11" t="s">
        <v>233</v>
      </c>
      <c r="B208" s="11" t="s">
        <v>19</v>
      </c>
      <c r="C208" s="11" t="s">
        <v>20</v>
      </c>
      <c r="D208" s="11" t="s">
        <v>26</v>
      </c>
      <c r="E208" s="11" t="s">
        <v>17</v>
      </c>
      <c r="F208" s="11">
        <v>14</v>
      </c>
      <c r="G208" s="11">
        <v>143149.31</v>
      </c>
      <c r="H208" s="11">
        <v>24</v>
      </c>
      <c r="I208" s="12">
        <v>99</v>
      </c>
      <c r="J208" s="15" t="str">
        <f>IF(Table1[[#This Row],[Treatment Cost]]&gt;75000,"HIGH COST","LOW COST")</f>
        <v>HIGH COST</v>
      </c>
      <c r="K208" s="15" t="str">
        <f>IF(Table1[[#This Row],[Age]]&gt;=60,"Senior Citizen",IF(AND(Table1[[#This Row],[Age]]&gt;=18,Table1[[#This Row],[Age]]&lt;60),"Adult",IF(Table1[[#This Row],[Age]]&lt;18,"Child")))</f>
        <v>Child</v>
      </c>
      <c r="L208" s="19"/>
    </row>
    <row r="209" spans="1:12" x14ac:dyDescent="0.25">
      <c r="A209" s="11" t="s">
        <v>234</v>
      </c>
      <c r="B209" s="11" t="s">
        <v>19</v>
      </c>
      <c r="C209" s="11" t="s">
        <v>23</v>
      </c>
      <c r="D209" s="11" t="s">
        <v>16</v>
      </c>
      <c r="E209" s="11" t="s">
        <v>29</v>
      </c>
      <c r="F209" s="11">
        <v>40</v>
      </c>
      <c r="G209" s="11">
        <v>185926.11</v>
      </c>
      <c r="H209" s="11">
        <v>18</v>
      </c>
      <c r="I209" s="12">
        <v>78</v>
      </c>
      <c r="J209" s="15" t="str">
        <f>IF(Table1[[#This Row],[Treatment Cost]]&gt;75000,"HIGH COST","LOW COST")</f>
        <v>HIGH COST</v>
      </c>
      <c r="K209" s="15" t="str">
        <f>IF(Table1[[#This Row],[Age]]&gt;=60,"Senior Citizen",IF(AND(Table1[[#This Row],[Age]]&gt;=18,Table1[[#This Row],[Age]]&lt;60),"Adult",IF(Table1[[#This Row],[Age]]&lt;18,"Child")))</f>
        <v>Adult</v>
      </c>
      <c r="L209" s="19"/>
    </row>
    <row r="210" spans="1:12" x14ac:dyDescent="0.25">
      <c r="A210" s="11" t="s">
        <v>235</v>
      </c>
      <c r="B210" s="11" t="s">
        <v>10</v>
      </c>
      <c r="C210" s="11" t="s">
        <v>11</v>
      </c>
      <c r="D210" s="11" t="s">
        <v>16</v>
      </c>
      <c r="E210" s="11" t="s">
        <v>17</v>
      </c>
      <c r="F210" s="11">
        <v>63</v>
      </c>
      <c r="G210" s="11">
        <v>54624.83</v>
      </c>
      <c r="H210" s="11">
        <v>7</v>
      </c>
      <c r="I210" s="12">
        <v>57</v>
      </c>
      <c r="J210" s="15" t="str">
        <f>IF(Table1[[#This Row],[Treatment Cost]]&gt;75000,"HIGH COST","LOW COST")</f>
        <v>LOW COST</v>
      </c>
      <c r="K210" s="15" t="str">
        <f>IF(Table1[[#This Row],[Age]]&gt;=60,"Senior Citizen",IF(AND(Table1[[#This Row],[Age]]&gt;=18,Table1[[#This Row],[Age]]&lt;60),"Adult",IF(Table1[[#This Row],[Age]]&lt;18,"Child")))</f>
        <v>Senior Citizen</v>
      </c>
      <c r="L210" s="19"/>
    </row>
    <row r="211" spans="1:12" x14ac:dyDescent="0.25">
      <c r="A211" s="11" t="s">
        <v>236</v>
      </c>
      <c r="B211" s="11" t="s">
        <v>36</v>
      </c>
      <c r="C211" s="11" t="s">
        <v>11</v>
      </c>
      <c r="D211" s="11" t="s">
        <v>12</v>
      </c>
      <c r="E211" s="11" t="s">
        <v>29</v>
      </c>
      <c r="F211" s="11">
        <v>90</v>
      </c>
      <c r="G211" s="11">
        <v>52550.64</v>
      </c>
      <c r="H211" s="11">
        <v>20</v>
      </c>
      <c r="I211" s="12">
        <v>100</v>
      </c>
      <c r="J211" s="15" t="str">
        <f>IF(Table1[[#This Row],[Treatment Cost]]&gt;75000,"HIGH COST","LOW COST")</f>
        <v>LOW COST</v>
      </c>
      <c r="K211" s="15" t="str">
        <f>IF(Table1[[#This Row],[Age]]&gt;=60,"Senior Citizen",IF(AND(Table1[[#This Row],[Age]]&gt;=18,Table1[[#This Row],[Age]]&lt;60),"Adult",IF(Table1[[#This Row],[Age]]&lt;18,"Child")))</f>
        <v>Senior Citizen</v>
      </c>
      <c r="L211" s="19"/>
    </row>
    <row r="212" spans="1:12" x14ac:dyDescent="0.25">
      <c r="A212" s="11" t="s">
        <v>237</v>
      </c>
      <c r="B212" s="11" t="s">
        <v>10</v>
      </c>
      <c r="C212" s="11" t="s">
        <v>20</v>
      </c>
      <c r="D212" s="11" t="s">
        <v>24</v>
      </c>
      <c r="E212" s="11" t="s">
        <v>17</v>
      </c>
      <c r="F212" s="11">
        <v>25</v>
      </c>
      <c r="G212" s="11">
        <v>25431.63</v>
      </c>
      <c r="H212" s="11">
        <v>4</v>
      </c>
      <c r="I212" s="12">
        <v>63</v>
      </c>
      <c r="J212" s="15" t="str">
        <f>IF(Table1[[#This Row],[Treatment Cost]]&gt;75000,"HIGH COST","LOW COST")</f>
        <v>LOW COST</v>
      </c>
      <c r="K212" s="15" t="str">
        <f>IF(Table1[[#This Row],[Age]]&gt;=60,"Senior Citizen",IF(AND(Table1[[#This Row],[Age]]&gt;=18,Table1[[#This Row],[Age]]&lt;60),"Adult",IF(Table1[[#This Row],[Age]]&lt;18,"Child")))</f>
        <v>Adult</v>
      </c>
      <c r="L212" s="19"/>
    </row>
    <row r="213" spans="1:12" x14ac:dyDescent="0.25">
      <c r="A213" s="11" t="s">
        <v>238</v>
      </c>
      <c r="B213" s="11" t="s">
        <v>36</v>
      </c>
      <c r="C213" s="11" t="s">
        <v>11</v>
      </c>
      <c r="D213" s="11" t="s">
        <v>26</v>
      </c>
      <c r="E213" s="11" t="s">
        <v>13</v>
      </c>
      <c r="F213" s="11">
        <v>61</v>
      </c>
      <c r="G213" s="11">
        <v>116103.83</v>
      </c>
      <c r="H213" s="11">
        <v>15</v>
      </c>
      <c r="I213" s="12">
        <v>61</v>
      </c>
      <c r="J213" s="15" t="str">
        <f>IF(Table1[[#This Row],[Treatment Cost]]&gt;75000,"HIGH COST","LOW COST")</f>
        <v>HIGH COST</v>
      </c>
      <c r="K213" s="15" t="str">
        <f>IF(Table1[[#This Row],[Age]]&gt;=60,"Senior Citizen",IF(AND(Table1[[#This Row],[Age]]&gt;=18,Table1[[#This Row],[Age]]&lt;60),"Adult",IF(Table1[[#This Row],[Age]]&lt;18,"Child")))</f>
        <v>Senior Citizen</v>
      </c>
      <c r="L213" s="19"/>
    </row>
    <row r="214" spans="1:12" x14ac:dyDescent="0.25">
      <c r="A214" s="11" t="s">
        <v>239</v>
      </c>
      <c r="B214" s="11" t="s">
        <v>34</v>
      </c>
      <c r="C214" s="11" t="s">
        <v>20</v>
      </c>
      <c r="D214" s="11" t="s">
        <v>12</v>
      </c>
      <c r="E214" s="11" t="s">
        <v>17</v>
      </c>
      <c r="F214" s="11">
        <v>54</v>
      </c>
      <c r="G214" s="11">
        <v>75930.89</v>
      </c>
      <c r="H214" s="11">
        <v>7</v>
      </c>
      <c r="I214" s="12">
        <v>55</v>
      </c>
      <c r="J214" s="15" t="str">
        <f>IF(Table1[[#This Row],[Treatment Cost]]&gt;75000,"HIGH COST","LOW COST")</f>
        <v>HIGH COST</v>
      </c>
      <c r="K214" s="15" t="str">
        <f>IF(Table1[[#This Row],[Age]]&gt;=60,"Senior Citizen",IF(AND(Table1[[#This Row],[Age]]&gt;=18,Table1[[#This Row],[Age]]&lt;60),"Adult",IF(Table1[[#This Row],[Age]]&lt;18,"Child")))</f>
        <v>Adult</v>
      </c>
      <c r="L214" s="19"/>
    </row>
    <row r="215" spans="1:12" x14ac:dyDescent="0.25">
      <c r="A215" s="11" t="s">
        <v>240</v>
      </c>
      <c r="B215" s="11" t="s">
        <v>19</v>
      </c>
      <c r="C215" s="11" t="s">
        <v>20</v>
      </c>
      <c r="D215" s="11" t="s">
        <v>21</v>
      </c>
      <c r="E215" s="11" t="s">
        <v>13</v>
      </c>
      <c r="F215" s="11">
        <v>76</v>
      </c>
      <c r="G215" s="11">
        <v>20335.37</v>
      </c>
      <c r="H215" s="11">
        <v>11</v>
      </c>
      <c r="I215" s="12">
        <v>86</v>
      </c>
      <c r="J215" s="15" t="str">
        <f>IF(Table1[[#This Row],[Treatment Cost]]&gt;75000,"HIGH COST","LOW COST")</f>
        <v>LOW COST</v>
      </c>
      <c r="K215" s="15" t="str">
        <f>IF(Table1[[#This Row],[Age]]&gt;=60,"Senior Citizen",IF(AND(Table1[[#This Row],[Age]]&gt;=18,Table1[[#This Row],[Age]]&lt;60),"Adult",IF(Table1[[#This Row],[Age]]&lt;18,"Child")))</f>
        <v>Senior Citizen</v>
      </c>
      <c r="L215" s="19"/>
    </row>
    <row r="216" spans="1:12" x14ac:dyDescent="0.25">
      <c r="A216" s="11" t="s">
        <v>241</v>
      </c>
      <c r="B216" s="11" t="s">
        <v>31</v>
      </c>
      <c r="C216" s="11" t="s">
        <v>20</v>
      </c>
      <c r="D216" s="11" t="s">
        <v>21</v>
      </c>
      <c r="E216" s="11" t="s">
        <v>29</v>
      </c>
      <c r="F216" s="11">
        <v>25</v>
      </c>
      <c r="G216" s="11">
        <v>165500.42000000001</v>
      </c>
      <c r="H216" s="11">
        <v>29</v>
      </c>
      <c r="I216" s="12">
        <v>53</v>
      </c>
      <c r="J216" s="15" t="str">
        <f>IF(Table1[[#This Row],[Treatment Cost]]&gt;75000,"HIGH COST","LOW COST")</f>
        <v>HIGH COST</v>
      </c>
      <c r="K216" s="15" t="str">
        <f>IF(Table1[[#This Row],[Age]]&gt;=60,"Senior Citizen",IF(AND(Table1[[#This Row],[Age]]&gt;=18,Table1[[#This Row],[Age]]&lt;60),"Adult",IF(Table1[[#This Row],[Age]]&lt;18,"Child")))</f>
        <v>Adult</v>
      </c>
      <c r="L216" s="19"/>
    </row>
    <row r="217" spans="1:12" x14ac:dyDescent="0.25">
      <c r="A217" s="11" t="s">
        <v>242</v>
      </c>
      <c r="B217" s="11" t="s">
        <v>10</v>
      </c>
      <c r="C217" s="11" t="s">
        <v>20</v>
      </c>
      <c r="D217" s="11" t="s">
        <v>12</v>
      </c>
      <c r="E217" s="11" t="s">
        <v>29</v>
      </c>
      <c r="F217" s="11">
        <v>57</v>
      </c>
      <c r="G217" s="11">
        <v>15118.74</v>
      </c>
      <c r="H217" s="11">
        <v>3</v>
      </c>
      <c r="I217" s="12">
        <v>88</v>
      </c>
      <c r="J217" s="15" t="str">
        <f>IF(Table1[[#This Row],[Treatment Cost]]&gt;75000,"HIGH COST","LOW COST")</f>
        <v>LOW COST</v>
      </c>
      <c r="K217" s="15" t="str">
        <f>IF(Table1[[#This Row],[Age]]&gt;=60,"Senior Citizen",IF(AND(Table1[[#This Row],[Age]]&gt;=18,Table1[[#This Row],[Age]]&lt;60),"Adult",IF(Table1[[#This Row],[Age]]&lt;18,"Child")))</f>
        <v>Adult</v>
      </c>
      <c r="L217" s="19"/>
    </row>
    <row r="218" spans="1:12" x14ac:dyDescent="0.25">
      <c r="A218" s="11" t="s">
        <v>243</v>
      </c>
      <c r="B218" s="11" t="s">
        <v>10</v>
      </c>
      <c r="C218" s="11" t="s">
        <v>11</v>
      </c>
      <c r="D218" s="11" t="s">
        <v>24</v>
      </c>
      <c r="E218" s="11" t="s">
        <v>17</v>
      </c>
      <c r="F218" s="11">
        <v>32</v>
      </c>
      <c r="G218" s="11">
        <v>75309.14</v>
      </c>
      <c r="H218" s="11">
        <v>2</v>
      </c>
      <c r="I218" s="12">
        <v>63</v>
      </c>
      <c r="J218" s="15" t="str">
        <f>IF(Table1[[#This Row],[Treatment Cost]]&gt;75000,"HIGH COST","LOW COST")</f>
        <v>HIGH COST</v>
      </c>
      <c r="K218" s="15" t="str">
        <f>IF(Table1[[#This Row],[Age]]&gt;=60,"Senior Citizen",IF(AND(Table1[[#This Row],[Age]]&gt;=18,Table1[[#This Row],[Age]]&lt;60),"Adult",IF(Table1[[#This Row],[Age]]&lt;18,"Child")))</f>
        <v>Adult</v>
      </c>
      <c r="L218" s="19"/>
    </row>
    <row r="219" spans="1:12" x14ac:dyDescent="0.25">
      <c r="A219" s="11" t="s">
        <v>244</v>
      </c>
      <c r="B219" s="11" t="s">
        <v>10</v>
      </c>
      <c r="C219" s="11" t="s">
        <v>23</v>
      </c>
      <c r="D219" s="11" t="s">
        <v>24</v>
      </c>
      <c r="E219" s="11" t="s">
        <v>29</v>
      </c>
      <c r="F219" s="11">
        <v>61</v>
      </c>
      <c r="G219" s="11">
        <v>113329.22</v>
      </c>
      <c r="H219" s="11">
        <v>21</v>
      </c>
      <c r="I219" s="12">
        <v>95</v>
      </c>
      <c r="J219" s="15" t="str">
        <f>IF(Table1[[#This Row],[Treatment Cost]]&gt;75000,"HIGH COST","LOW COST")</f>
        <v>HIGH COST</v>
      </c>
      <c r="K219" s="15" t="str">
        <f>IF(Table1[[#This Row],[Age]]&gt;=60,"Senior Citizen",IF(AND(Table1[[#This Row],[Age]]&gt;=18,Table1[[#This Row],[Age]]&lt;60),"Adult",IF(Table1[[#This Row],[Age]]&lt;18,"Child")))</f>
        <v>Senior Citizen</v>
      </c>
      <c r="L219" s="19"/>
    </row>
    <row r="220" spans="1:12" x14ac:dyDescent="0.25">
      <c r="A220" s="11" t="s">
        <v>245</v>
      </c>
      <c r="B220" s="11" t="s">
        <v>31</v>
      </c>
      <c r="C220" s="11" t="s">
        <v>20</v>
      </c>
      <c r="D220" s="11" t="s">
        <v>12</v>
      </c>
      <c r="E220" s="11" t="s">
        <v>29</v>
      </c>
      <c r="F220" s="11">
        <v>5</v>
      </c>
      <c r="G220" s="11">
        <v>154107.12</v>
      </c>
      <c r="H220" s="11">
        <v>23</v>
      </c>
      <c r="I220" s="12">
        <v>72</v>
      </c>
      <c r="J220" s="15" t="str">
        <f>IF(Table1[[#This Row],[Treatment Cost]]&gt;75000,"HIGH COST","LOW COST")</f>
        <v>HIGH COST</v>
      </c>
      <c r="K220" s="15" t="str">
        <f>IF(Table1[[#This Row],[Age]]&gt;=60,"Senior Citizen",IF(AND(Table1[[#This Row],[Age]]&gt;=18,Table1[[#This Row],[Age]]&lt;60),"Adult",IF(Table1[[#This Row],[Age]]&lt;18,"Child")))</f>
        <v>Child</v>
      </c>
      <c r="L220" s="19"/>
    </row>
    <row r="221" spans="1:12" x14ac:dyDescent="0.25">
      <c r="A221" s="11" t="s">
        <v>246</v>
      </c>
      <c r="B221" s="11" t="s">
        <v>15</v>
      </c>
      <c r="C221" s="11" t="s">
        <v>23</v>
      </c>
      <c r="D221" s="11" t="s">
        <v>16</v>
      </c>
      <c r="E221" s="11" t="s">
        <v>13</v>
      </c>
      <c r="F221" s="11">
        <v>45</v>
      </c>
      <c r="G221" s="11">
        <v>190491.59</v>
      </c>
      <c r="H221" s="11">
        <v>22</v>
      </c>
      <c r="I221" s="12">
        <v>91</v>
      </c>
      <c r="J221" s="15" t="str">
        <f>IF(Table1[[#This Row],[Treatment Cost]]&gt;75000,"HIGH COST","LOW COST")</f>
        <v>HIGH COST</v>
      </c>
      <c r="K221" s="15" t="str">
        <f>IF(Table1[[#This Row],[Age]]&gt;=60,"Senior Citizen",IF(AND(Table1[[#This Row],[Age]]&gt;=18,Table1[[#This Row],[Age]]&lt;60),"Adult",IF(Table1[[#This Row],[Age]]&lt;18,"Child")))</f>
        <v>Adult</v>
      </c>
      <c r="L221" s="19"/>
    </row>
    <row r="222" spans="1:12" x14ac:dyDescent="0.25">
      <c r="A222" s="11" t="s">
        <v>247</v>
      </c>
      <c r="B222" s="11" t="s">
        <v>10</v>
      </c>
      <c r="C222" s="11" t="s">
        <v>11</v>
      </c>
      <c r="D222" s="11" t="s">
        <v>12</v>
      </c>
      <c r="E222" s="11" t="s">
        <v>29</v>
      </c>
      <c r="F222" s="11">
        <v>43</v>
      </c>
      <c r="G222" s="11">
        <v>127731.84</v>
      </c>
      <c r="H222" s="11">
        <v>8</v>
      </c>
      <c r="I222" s="12">
        <v>41</v>
      </c>
      <c r="J222" s="15" t="str">
        <f>IF(Table1[[#This Row],[Treatment Cost]]&gt;75000,"HIGH COST","LOW COST")</f>
        <v>HIGH COST</v>
      </c>
      <c r="K222" s="15" t="str">
        <f>IF(Table1[[#This Row],[Age]]&gt;=60,"Senior Citizen",IF(AND(Table1[[#This Row],[Age]]&gt;=18,Table1[[#This Row],[Age]]&lt;60),"Adult",IF(Table1[[#This Row],[Age]]&lt;18,"Child")))</f>
        <v>Adult</v>
      </c>
      <c r="L222" s="19"/>
    </row>
    <row r="223" spans="1:12" x14ac:dyDescent="0.25">
      <c r="A223" s="11" t="s">
        <v>248</v>
      </c>
      <c r="B223" s="11" t="s">
        <v>19</v>
      </c>
      <c r="C223" s="11" t="s">
        <v>40</v>
      </c>
      <c r="D223" s="11" t="s">
        <v>16</v>
      </c>
      <c r="E223" s="11" t="s">
        <v>17</v>
      </c>
      <c r="F223" s="11">
        <v>35</v>
      </c>
      <c r="G223" s="11">
        <v>145943.85</v>
      </c>
      <c r="H223" s="11">
        <v>21</v>
      </c>
      <c r="I223" s="12">
        <v>83</v>
      </c>
      <c r="J223" s="15" t="str">
        <f>IF(Table1[[#This Row],[Treatment Cost]]&gt;75000,"HIGH COST","LOW COST")</f>
        <v>HIGH COST</v>
      </c>
      <c r="K223" s="15" t="str">
        <f>IF(Table1[[#This Row],[Age]]&gt;=60,"Senior Citizen",IF(AND(Table1[[#This Row],[Age]]&gt;=18,Table1[[#This Row],[Age]]&lt;60),"Adult",IF(Table1[[#This Row],[Age]]&lt;18,"Child")))</f>
        <v>Adult</v>
      </c>
      <c r="L223" s="19"/>
    </row>
    <row r="224" spans="1:12" x14ac:dyDescent="0.25">
      <c r="A224" s="11" t="s">
        <v>249</v>
      </c>
      <c r="B224" s="11" t="s">
        <v>19</v>
      </c>
      <c r="C224" s="11" t="s">
        <v>11</v>
      </c>
      <c r="D224" s="11" t="s">
        <v>12</v>
      </c>
      <c r="E224" s="11" t="s">
        <v>17</v>
      </c>
      <c r="F224" s="11">
        <v>11</v>
      </c>
      <c r="G224" s="11">
        <v>55186.8</v>
      </c>
      <c r="H224" s="11">
        <v>2</v>
      </c>
      <c r="I224" s="12">
        <v>60</v>
      </c>
      <c r="J224" s="15" t="str">
        <f>IF(Table1[[#This Row],[Treatment Cost]]&gt;75000,"HIGH COST","LOW COST")</f>
        <v>LOW COST</v>
      </c>
      <c r="K224" s="15" t="str">
        <f>IF(Table1[[#This Row],[Age]]&gt;=60,"Senior Citizen",IF(AND(Table1[[#This Row],[Age]]&gt;=18,Table1[[#This Row],[Age]]&lt;60),"Adult",IF(Table1[[#This Row],[Age]]&lt;18,"Child")))</f>
        <v>Child</v>
      </c>
      <c r="L224" s="19"/>
    </row>
    <row r="225" spans="1:12" x14ac:dyDescent="0.25">
      <c r="A225" s="11" t="s">
        <v>250</v>
      </c>
      <c r="B225" s="11" t="s">
        <v>10</v>
      </c>
      <c r="C225" s="11" t="s">
        <v>20</v>
      </c>
      <c r="D225" s="11" t="s">
        <v>12</v>
      </c>
      <c r="E225" s="11" t="s">
        <v>13</v>
      </c>
      <c r="F225" s="11">
        <v>28</v>
      </c>
      <c r="G225" s="11">
        <v>53935.55</v>
      </c>
      <c r="H225" s="11">
        <v>13</v>
      </c>
      <c r="I225" s="12">
        <v>63</v>
      </c>
      <c r="J225" s="15" t="str">
        <f>IF(Table1[[#This Row],[Treatment Cost]]&gt;75000,"HIGH COST","LOW COST")</f>
        <v>LOW COST</v>
      </c>
      <c r="K225" s="15" t="str">
        <f>IF(Table1[[#This Row],[Age]]&gt;=60,"Senior Citizen",IF(AND(Table1[[#This Row],[Age]]&gt;=18,Table1[[#This Row],[Age]]&lt;60),"Adult",IF(Table1[[#This Row],[Age]]&lt;18,"Child")))</f>
        <v>Adult</v>
      </c>
      <c r="L225" s="19"/>
    </row>
    <row r="226" spans="1:12" x14ac:dyDescent="0.25">
      <c r="A226" s="11" t="s">
        <v>251</v>
      </c>
      <c r="B226" s="11" t="s">
        <v>31</v>
      </c>
      <c r="C226" s="11" t="s">
        <v>40</v>
      </c>
      <c r="D226" s="11" t="s">
        <v>24</v>
      </c>
      <c r="E226" s="11" t="s">
        <v>13</v>
      </c>
      <c r="F226" s="11">
        <v>7</v>
      </c>
      <c r="G226" s="11">
        <v>33283.31</v>
      </c>
      <c r="H226" s="11">
        <v>23</v>
      </c>
      <c r="I226" s="12">
        <v>90</v>
      </c>
      <c r="J226" s="15" t="str">
        <f>IF(Table1[[#This Row],[Treatment Cost]]&gt;75000,"HIGH COST","LOW COST")</f>
        <v>LOW COST</v>
      </c>
      <c r="K226" s="15" t="str">
        <f>IF(Table1[[#This Row],[Age]]&gt;=60,"Senior Citizen",IF(AND(Table1[[#This Row],[Age]]&gt;=18,Table1[[#This Row],[Age]]&lt;60),"Adult",IF(Table1[[#This Row],[Age]]&lt;18,"Child")))</f>
        <v>Child</v>
      </c>
      <c r="L226" s="19"/>
    </row>
    <row r="227" spans="1:12" x14ac:dyDescent="0.25">
      <c r="A227" s="11" t="s">
        <v>252</v>
      </c>
      <c r="B227" s="11" t="s">
        <v>10</v>
      </c>
      <c r="C227" s="11" t="s">
        <v>40</v>
      </c>
      <c r="D227" s="11" t="s">
        <v>21</v>
      </c>
      <c r="E227" s="11" t="s">
        <v>17</v>
      </c>
      <c r="F227" s="11">
        <v>10</v>
      </c>
      <c r="G227" s="11">
        <v>126487.1</v>
      </c>
      <c r="H227" s="11">
        <v>20</v>
      </c>
      <c r="I227" s="12">
        <v>67</v>
      </c>
      <c r="J227" s="15" t="str">
        <f>IF(Table1[[#This Row],[Treatment Cost]]&gt;75000,"HIGH COST","LOW COST")</f>
        <v>HIGH COST</v>
      </c>
      <c r="K227" s="15" t="str">
        <f>IF(Table1[[#This Row],[Age]]&gt;=60,"Senior Citizen",IF(AND(Table1[[#This Row],[Age]]&gt;=18,Table1[[#This Row],[Age]]&lt;60),"Adult",IF(Table1[[#This Row],[Age]]&lt;18,"Child")))</f>
        <v>Child</v>
      </c>
      <c r="L227" s="19"/>
    </row>
    <row r="228" spans="1:12" x14ac:dyDescent="0.25">
      <c r="A228" s="11" t="s">
        <v>253</v>
      </c>
      <c r="B228" s="11" t="s">
        <v>36</v>
      </c>
      <c r="C228" s="11" t="s">
        <v>40</v>
      </c>
      <c r="D228" s="11" t="s">
        <v>16</v>
      </c>
      <c r="E228" s="11" t="s">
        <v>29</v>
      </c>
      <c r="F228" s="11">
        <v>85</v>
      </c>
      <c r="G228" s="11">
        <v>186558.04</v>
      </c>
      <c r="H228" s="11">
        <v>6</v>
      </c>
      <c r="I228" s="12">
        <v>86</v>
      </c>
      <c r="J228" s="15" t="str">
        <f>IF(Table1[[#This Row],[Treatment Cost]]&gt;75000,"HIGH COST","LOW COST")</f>
        <v>HIGH COST</v>
      </c>
      <c r="K228" s="15" t="str">
        <f>IF(Table1[[#This Row],[Age]]&gt;=60,"Senior Citizen",IF(AND(Table1[[#This Row],[Age]]&gt;=18,Table1[[#This Row],[Age]]&lt;60),"Adult",IF(Table1[[#This Row],[Age]]&lt;18,"Child")))</f>
        <v>Senior Citizen</v>
      </c>
      <c r="L228" s="19"/>
    </row>
    <row r="229" spans="1:12" x14ac:dyDescent="0.25">
      <c r="A229" s="11" t="s">
        <v>254</v>
      </c>
      <c r="B229" s="11" t="s">
        <v>10</v>
      </c>
      <c r="C229" s="11" t="s">
        <v>20</v>
      </c>
      <c r="D229" s="11" t="s">
        <v>12</v>
      </c>
      <c r="E229" s="11" t="s">
        <v>17</v>
      </c>
      <c r="F229" s="11">
        <v>73</v>
      </c>
      <c r="G229" s="11">
        <v>46787.74</v>
      </c>
      <c r="H229" s="11">
        <v>1</v>
      </c>
      <c r="I229" s="12">
        <v>88</v>
      </c>
      <c r="J229" s="15" t="str">
        <f>IF(Table1[[#This Row],[Treatment Cost]]&gt;75000,"HIGH COST","LOW COST")</f>
        <v>LOW COST</v>
      </c>
      <c r="K229" s="15" t="str">
        <f>IF(Table1[[#This Row],[Age]]&gt;=60,"Senior Citizen",IF(AND(Table1[[#This Row],[Age]]&gt;=18,Table1[[#This Row],[Age]]&lt;60),"Adult",IF(Table1[[#This Row],[Age]]&lt;18,"Child")))</f>
        <v>Senior Citizen</v>
      </c>
      <c r="L229" s="19"/>
    </row>
    <row r="230" spans="1:12" x14ac:dyDescent="0.25">
      <c r="A230" s="11" t="s">
        <v>255</v>
      </c>
      <c r="B230" s="11" t="s">
        <v>19</v>
      </c>
      <c r="C230" s="11" t="s">
        <v>11</v>
      </c>
      <c r="D230" s="11" t="s">
        <v>26</v>
      </c>
      <c r="E230" s="11" t="s">
        <v>13</v>
      </c>
      <c r="F230" s="11">
        <v>38</v>
      </c>
      <c r="G230" s="11">
        <v>125673.75</v>
      </c>
      <c r="H230" s="11">
        <v>11</v>
      </c>
      <c r="I230" s="12">
        <v>40</v>
      </c>
      <c r="J230" s="15" t="str">
        <f>IF(Table1[[#This Row],[Treatment Cost]]&gt;75000,"HIGH COST","LOW COST")</f>
        <v>HIGH COST</v>
      </c>
      <c r="K230" s="15" t="str">
        <f>IF(Table1[[#This Row],[Age]]&gt;=60,"Senior Citizen",IF(AND(Table1[[#This Row],[Age]]&gt;=18,Table1[[#This Row],[Age]]&lt;60),"Adult",IF(Table1[[#This Row],[Age]]&lt;18,"Child")))</f>
        <v>Adult</v>
      </c>
      <c r="L230" s="19"/>
    </row>
    <row r="231" spans="1:12" x14ac:dyDescent="0.25">
      <c r="A231" s="11" t="s">
        <v>256</v>
      </c>
      <c r="B231" s="11" t="s">
        <v>36</v>
      </c>
      <c r="C231" s="11" t="s">
        <v>11</v>
      </c>
      <c r="D231" s="11" t="s">
        <v>16</v>
      </c>
      <c r="E231" s="11" t="s">
        <v>13</v>
      </c>
      <c r="F231" s="11">
        <v>80</v>
      </c>
      <c r="G231" s="11">
        <v>191826.39</v>
      </c>
      <c r="H231" s="11">
        <v>23</v>
      </c>
      <c r="I231" s="12">
        <v>55</v>
      </c>
      <c r="J231" s="15" t="str">
        <f>IF(Table1[[#This Row],[Treatment Cost]]&gt;75000,"HIGH COST","LOW COST")</f>
        <v>HIGH COST</v>
      </c>
      <c r="K231" s="15" t="str">
        <f>IF(Table1[[#This Row],[Age]]&gt;=60,"Senior Citizen",IF(AND(Table1[[#This Row],[Age]]&gt;=18,Table1[[#This Row],[Age]]&lt;60),"Adult",IF(Table1[[#This Row],[Age]]&lt;18,"Child")))</f>
        <v>Senior Citizen</v>
      </c>
      <c r="L231" s="19"/>
    </row>
    <row r="232" spans="1:12" x14ac:dyDescent="0.25">
      <c r="A232" s="11" t="s">
        <v>257</v>
      </c>
      <c r="B232" s="11" t="s">
        <v>15</v>
      </c>
      <c r="C232" s="11" t="s">
        <v>23</v>
      </c>
      <c r="D232" s="11" t="s">
        <v>12</v>
      </c>
      <c r="E232" s="11" t="s">
        <v>13</v>
      </c>
      <c r="F232" s="11">
        <v>71</v>
      </c>
      <c r="G232" s="11">
        <v>182698.44</v>
      </c>
      <c r="H232" s="11">
        <v>26</v>
      </c>
      <c r="I232" s="12">
        <v>88</v>
      </c>
      <c r="J232" s="15" t="str">
        <f>IF(Table1[[#This Row],[Treatment Cost]]&gt;75000,"HIGH COST","LOW COST")</f>
        <v>HIGH COST</v>
      </c>
      <c r="K232" s="15" t="str">
        <f>IF(Table1[[#This Row],[Age]]&gt;=60,"Senior Citizen",IF(AND(Table1[[#This Row],[Age]]&gt;=18,Table1[[#This Row],[Age]]&lt;60),"Adult",IF(Table1[[#This Row],[Age]]&lt;18,"Child")))</f>
        <v>Senior Citizen</v>
      </c>
      <c r="L232" s="19"/>
    </row>
    <row r="233" spans="1:12" x14ac:dyDescent="0.25">
      <c r="A233" s="11" t="s">
        <v>258</v>
      </c>
      <c r="B233" s="11" t="s">
        <v>34</v>
      </c>
      <c r="C233" s="11" t="s">
        <v>40</v>
      </c>
      <c r="D233" s="11" t="s">
        <v>26</v>
      </c>
      <c r="E233" s="11" t="s">
        <v>29</v>
      </c>
      <c r="F233" s="11">
        <v>35</v>
      </c>
      <c r="G233" s="11">
        <v>176922.36</v>
      </c>
      <c r="H233" s="11">
        <v>21</v>
      </c>
      <c r="I233" s="12">
        <v>55</v>
      </c>
      <c r="J233" s="15" t="str">
        <f>IF(Table1[[#This Row],[Treatment Cost]]&gt;75000,"HIGH COST","LOW COST")</f>
        <v>HIGH COST</v>
      </c>
      <c r="K233" s="15" t="str">
        <f>IF(Table1[[#This Row],[Age]]&gt;=60,"Senior Citizen",IF(AND(Table1[[#This Row],[Age]]&gt;=18,Table1[[#This Row],[Age]]&lt;60),"Adult",IF(Table1[[#This Row],[Age]]&lt;18,"Child")))</f>
        <v>Adult</v>
      </c>
      <c r="L233" s="19"/>
    </row>
    <row r="234" spans="1:12" x14ac:dyDescent="0.25">
      <c r="A234" s="11" t="s">
        <v>259</v>
      </c>
      <c r="B234" s="11" t="s">
        <v>10</v>
      </c>
      <c r="C234" s="11" t="s">
        <v>20</v>
      </c>
      <c r="D234" s="11" t="s">
        <v>16</v>
      </c>
      <c r="E234" s="11" t="s">
        <v>29</v>
      </c>
      <c r="F234" s="11">
        <v>18</v>
      </c>
      <c r="G234" s="11">
        <v>138937.84</v>
      </c>
      <c r="H234" s="11">
        <v>4</v>
      </c>
      <c r="I234" s="12">
        <v>49</v>
      </c>
      <c r="J234" s="15" t="str">
        <f>IF(Table1[[#This Row],[Treatment Cost]]&gt;75000,"HIGH COST","LOW COST")</f>
        <v>HIGH COST</v>
      </c>
      <c r="K234" s="15" t="str">
        <f>IF(Table1[[#This Row],[Age]]&gt;=60,"Senior Citizen",IF(AND(Table1[[#This Row],[Age]]&gt;=18,Table1[[#This Row],[Age]]&lt;60),"Adult",IF(Table1[[#This Row],[Age]]&lt;18,"Child")))</f>
        <v>Adult</v>
      </c>
      <c r="L234" s="19"/>
    </row>
    <row r="235" spans="1:12" x14ac:dyDescent="0.25">
      <c r="A235" s="11" t="s">
        <v>260</v>
      </c>
      <c r="B235" s="11" t="s">
        <v>10</v>
      </c>
      <c r="C235" s="11" t="s">
        <v>23</v>
      </c>
      <c r="D235" s="11" t="s">
        <v>21</v>
      </c>
      <c r="E235" s="11" t="s">
        <v>17</v>
      </c>
      <c r="F235" s="11">
        <v>79</v>
      </c>
      <c r="G235" s="11">
        <v>176454.3</v>
      </c>
      <c r="H235" s="11">
        <v>11</v>
      </c>
      <c r="I235" s="12">
        <v>89</v>
      </c>
      <c r="J235" s="15" t="str">
        <f>IF(Table1[[#This Row],[Treatment Cost]]&gt;75000,"HIGH COST","LOW COST")</f>
        <v>HIGH COST</v>
      </c>
      <c r="K235" s="15" t="str">
        <f>IF(Table1[[#This Row],[Age]]&gt;=60,"Senior Citizen",IF(AND(Table1[[#This Row],[Age]]&gt;=18,Table1[[#This Row],[Age]]&lt;60),"Adult",IF(Table1[[#This Row],[Age]]&lt;18,"Child")))</f>
        <v>Senior Citizen</v>
      </c>
      <c r="L235" s="19"/>
    </row>
    <row r="236" spans="1:12" x14ac:dyDescent="0.25">
      <c r="A236" s="11" t="s">
        <v>261</v>
      </c>
      <c r="B236" s="11" t="s">
        <v>19</v>
      </c>
      <c r="C236" s="11" t="s">
        <v>11</v>
      </c>
      <c r="D236" s="11" t="s">
        <v>12</v>
      </c>
      <c r="E236" s="11" t="s">
        <v>13</v>
      </c>
      <c r="F236" s="11">
        <v>49</v>
      </c>
      <c r="G236" s="11">
        <v>102280.97</v>
      </c>
      <c r="H236" s="11">
        <v>30</v>
      </c>
      <c r="I236" s="12">
        <v>72</v>
      </c>
      <c r="J236" s="15" t="str">
        <f>IF(Table1[[#This Row],[Treatment Cost]]&gt;75000,"HIGH COST","LOW COST")</f>
        <v>HIGH COST</v>
      </c>
      <c r="K236" s="15" t="str">
        <f>IF(Table1[[#This Row],[Age]]&gt;=60,"Senior Citizen",IF(AND(Table1[[#This Row],[Age]]&gt;=18,Table1[[#This Row],[Age]]&lt;60),"Adult",IF(Table1[[#This Row],[Age]]&lt;18,"Child")))</f>
        <v>Adult</v>
      </c>
      <c r="L236" s="19"/>
    </row>
    <row r="237" spans="1:12" x14ac:dyDescent="0.25">
      <c r="A237" s="11" t="s">
        <v>262</v>
      </c>
      <c r="B237" s="11" t="s">
        <v>34</v>
      </c>
      <c r="C237" s="11" t="s">
        <v>40</v>
      </c>
      <c r="D237" s="11" t="s">
        <v>12</v>
      </c>
      <c r="E237" s="11" t="s">
        <v>13</v>
      </c>
      <c r="F237" s="11">
        <v>39</v>
      </c>
      <c r="G237" s="11">
        <v>157815.87</v>
      </c>
      <c r="H237" s="11">
        <v>22</v>
      </c>
      <c r="I237" s="12">
        <v>96</v>
      </c>
      <c r="J237" s="15" t="str">
        <f>IF(Table1[[#This Row],[Treatment Cost]]&gt;75000,"HIGH COST","LOW COST")</f>
        <v>HIGH COST</v>
      </c>
      <c r="K237" s="15" t="str">
        <f>IF(Table1[[#This Row],[Age]]&gt;=60,"Senior Citizen",IF(AND(Table1[[#This Row],[Age]]&gt;=18,Table1[[#This Row],[Age]]&lt;60),"Adult",IF(Table1[[#This Row],[Age]]&lt;18,"Child")))</f>
        <v>Adult</v>
      </c>
      <c r="L237" s="19"/>
    </row>
    <row r="238" spans="1:12" x14ac:dyDescent="0.25">
      <c r="A238" s="11" t="s">
        <v>263</v>
      </c>
      <c r="B238" s="11" t="s">
        <v>19</v>
      </c>
      <c r="C238" s="11" t="s">
        <v>40</v>
      </c>
      <c r="D238" s="11" t="s">
        <v>16</v>
      </c>
      <c r="E238" s="11" t="s">
        <v>13</v>
      </c>
      <c r="F238" s="11">
        <v>71</v>
      </c>
      <c r="G238" s="11">
        <v>103436.46</v>
      </c>
      <c r="H238" s="11">
        <v>19</v>
      </c>
      <c r="I238" s="12">
        <v>40</v>
      </c>
      <c r="J238" s="15" t="str">
        <f>IF(Table1[[#This Row],[Treatment Cost]]&gt;75000,"HIGH COST","LOW COST")</f>
        <v>HIGH COST</v>
      </c>
      <c r="K238" s="15" t="str">
        <f>IF(Table1[[#This Row],[Age]]&gt;=60,"Senior Citizen",IF(AND(Table1[[#This Row],[Age]]&gt;=18,Table1[[#This Row],[Age]]&lt;60),"Adult",IF(Table1[[#This Row],[Age]]&lt;18,"Child")))</f>
        <v>Senior Citizen</v>
      </c>
      <c r="L238" s="19"/>
    </row>
    <row r="239" spans="1:12" x14ac:dyDescent="0.25">
      <c r="A239" s="11" t="s">
        <v>264</v>
      </c>
      <c r="B239" s="11" t="s">
        <v>36</v>
      </c>
      <c r="C239" s="11" t="s">
        <v>20</v>
      </c>
      <c r="D239" s="11" t="s">
        <v>26</v>
      </c>
      <c r="E239" s="11" t="s">
        <v>17</v>
      </c>
      <c r="F239" s="11">
        <v>10</v>
      </c>
      <c r="G239" s="11">
        <v>81736.19</v>
      </c>
      <c r="H239" s="11">
        <v>14</v>
      </c>
      <c r="I239" s="12">
        <v>76</v>
      </c>
      <c r="J239" s="15" t="str">
        <f>IF(Table1[[#This Row],[Treatment Cost]]&gt;75000,"HIGH COST","LOW COST")</f>
        <v>HIGH COST</v>
      </c>
      <c r="K239" s="15" t="str">
        <f>IF(Table1[[#This Row],[Age]]&gt;=60,"Senior Citizen",IF(AND(Table1[[#This Row],[Age]]&gt;=18,Table1[[#This Row],[Age]]&lt;60),"Adult",IF(Table1[[#This Row],[Age]]&lt;18,"Child")))</f>
        <v>Child</v>
      </c>
      <c r="L239" s="19"/>
    </row>
    <row r="240" spans="1:12" x14ac:dyDescent="0.25">
      <c r="A240" s="11" t="s">
        <v>265</v>
      </c>
      <c r="B240" s="11" t="s">
        <v>10</v>
      </c>
      <c r="C240" s="11" t="s">
        <v>40</v>
      </c>
      <c r="D240" s="11" t="s">
        <v>24</v>
      </c>
      <c r="E240" s="11" t="s">
        <v>13</v>
      </c>
      <c r="F240" s="11">
        <v>18</v>
      </c>
      <c r="G240" s="11">
        <v>147155.59</v>
      </c>
      <c r="H240" s="11">
        <v>18</v>
      </c>
      <c r="I240" s="12">
        <v>51</v>
      </c>
      <c r="J240" s="15" t="str">
        <f>IF(Table1[[#This Row],[Treatment Cost]]&gt;75000,"HIGH COST","LOW COST")</f>
        <v>HIGH COST</v>
      </c>
      <c r="K240" s="15" t="str">
        <f>IF(Table1[[#This Row],[Age]]&gt;=60,"Senior Citizen",IF(AND(Table1[[#This Row],[Age]]&gt;=18,Table1[[#This Row],[Age]]&lt;60),"Adult",IF(Table1[[#This Row],[Age]]&lt;18,"Child")))</f>
        <v>Adult</v>
      </c>
      <c r="L240" s="19"/>
    </row>
    <row r="241" spans="1:12" x14ac:dyDescent="0.25">
      <c r="A241" s="11" t="s">
        <v>266</v>
      </c>
      <c r="B241" s="11" t="s">
        <v>10</v>
      </c>
      <c r="C241" s="11" t="s">
        <v>20</v>
      </c>
      <c r="D241" s="11" t="s">
        <v>21</v>
      </c>
      <c r="E241" s="11" t="s">
        <v>29</v>
      </c>
      <c r="F241" s="11">
        <v>12</v>
      </c>
      <c r="G241" s="11">
        <v>134114.44</v>
      </c>
      <c r="H241" s="11">
        <v>22</v>
      </c>
      <c r="I241" s="12">
        <v>74</v>
      </c>
      <c r="J241" s="15" t="str">
        <f>IF(Table1[[#This Row],[Treatment Cost]]&gt;75000,"HIGH COST","LOW COST")</f>
        <v>HIGH COST</v>
      </c>
      <c r="K241" s="15" t="str">
        <f>IF(Table1[[#This Row],[Age]]&gt;=60,"Senior Citizen",IF(AND(Table1[[#This Row],[Age]]&gt;=18,Table1[[#This Row],[Age]]&lt;60),"Adult",IF(Table1[[#This Row],[Age]]&lt;18,"Child")))</f>
        <v>Child</v>
      </c>
      <c r="L241" s="19"/>
    </row>
    <row r="242" spans="1:12" x14ac:dyDescent="0.25">
      <c r="A242" s="11" t="s">
        <v>267</v>
      </c>
      <c r="B242" s="11" t="s">
        <v>19</v>
      </c>
      <c r="C242" s="11" t="s">
        <v>20</v>
      </c>
      <c r="D242" s="11" t="s">
        <v>26</v>
      </c>
      <c r="E242" s="11" t="s">
        <v>13</v>
      </c>
      <c r="F242" s="11">
        <v>83</v>
      </c>
      <c r="G242" s="11">
        <v>47008.27</v>
      </c>
      <c r="H242" s="11">
        <v>23</v>
      </c>
      <c r="I242" s="12">
        <v>58</v>
      </c>
      <c r="J242" s="15" t="str">
        <f>IF(Table1[[#This Row],[Treatment Cost]]&gt;75000,"HIGH COST","LOW COST")</f>
        <v>LOW COST</v>
      </c>
      <c r="K242" s="15" t="str">
        <f>IF(Table1[[#This Row],[Age]]&gt;=60,"Senior Citizen",IF(AND(Table1[[#This Row],[Age]]&gt;=18,Table1[[#This Row],[Age]]&lt;60),"Adult",IF(Table1[[#This Row],[Age]]&lt;18,"Child")))</f>
        <v>Senior Citizen</v>
      </c>
      <c r="L242" s="19"/>
    </row>
    <row r="243" spans="1:12" x14ac:dyDescent="0.25">
      <c r="A243" s="11" t="s">
        <v>268</v>
      </c>
      <c r="B243" s="11" t="s">
        <v>36</v>
      </c>
      <c r="C243" s="11" t="s">
        <v>20</v>
      </c>
      <c r="D243" s="11" t="s">
        <v>16</v>
      </c>
      <c r="E243" s="11" t="s">
        <v>29</v>
      </c>
      <c r="F243" s="11">
        <v>60</v>
      </c>
      <c r="G243" s="11">
        <v>80388.87</v>
      </c>
      <c r="H243" s="11">
        <v>30</v>
      </c>
      <c r="I243" s="12">
        <v>77</v>
      </c>
      <c r="J243" s="15" t="str">
        <f>IF(Table1[[#This Row],[Treatment Cost]]&gt;75000,"HIGH COST","LOW COST")</f>
        <v>HIGH COST</v>
      </c>
      <c r="K243" s="15" t="str">
        <f>IF(Table1[[#This Row],[Age]]&gt;=60,"Senior Citizen",IF(AND(Table1[[#This Row],[Age]]&gt;=18,Table1[[#This Row],[Age]]&lt;60),"Adult",IF(Table1[[#This Row],[Age]]&lt;18,"Child")))</f>
        <v>Senior Citizen</v>
      </c>
      <c r="L243" s="19"/>
    </row>
    <row r="244" spans="1:12" x14ac:dyDescent="0.25">
      <c r="A244" s="11" t="s">
        <v>269</v>
      </c>
      <c r="B244" s="11" t="s">
        <v>10</v>
      </c>
      <c r="C244" s="11" t="s">
        <v>11</v>
      </c>
      <c r="D244" s="11" t="s">
        <v>12</v>
      </c>
      <c r="E244" s="11" t="s">
        <v>17</v>
      </c>
      <c r="F244" s="11">
        <v>73</v>
      </c>
      <c r="G244" s="11">
        <v>11747.81</v>
      </c>
      <c r="H244" s="11">
        <v>30</v>
      </c>
      <c r="I244" s="12">
        <v>46</v>
      </c>
      <c r="J244" s="15" t="str">
        <f>IF(Table1[[#This Row],[Treatment Cost]]&gt;75000,"HIGH COST","LOW COST")</f>
        <v>LOW COST</v>
      </c>
      <c r="K244" s="15" t="str">
        <f>IF(Table1[[#This Row],[Age]]&gt;=60,"Senior Citizen",IF(AND(Table1[[#This Row],[Age]]&gt;=18,Table1[[#This Row],[Age]]&lt;60),"Adult",IF(Table1[[#This Row],[Age]]&lt;18,"Child")))</f>
        <v>Senior Citizen</v>
      </c>
      <c r="L244" s="19"/>
    </row>
    <row r="245" spans="1:12" x14ac:dyDescent="0.25">
      <c r="A245" s="11" t="s">
        <v>270</v>
      </c>
      <c r="B245" s="11" t="s">
        <v>15</v>
      </c>
      <c r="C245" s="11" t="s">
        <v>20</v>
      </c>
      <c r="D245" s="11" t="s">
        <v>16</v>
      </c>
      <c r="E245" s="11" t="s">
        <v>29</v>
      </c>
      <c r="F245" s="11">
        <v>63</v>
      </c>
      <c r="G245" s="11">
        <v>74021.64</v>
      </c>
      <c r="H245" s="11">
        <v>2</v>
      </c>
      <c r="I245" s="12">
        <v>68</v>
      </c>
      <c r="J245" s="15" t="str">
        <f>IF(Table1[[#This Row],[Treatment Cost]]&gt;75000,"HIGH COST","LOW COST")</f>
        <v>LOW COST</v>
      </c>
      <c r="K245" s="15" t="str">
        <f>IF(Table1[[#This Row],[Age]]&gt;=60,"Senior Citizen",IF(AND(Table1[[#This Row],[Age]]&gt;=18,Table1[[#This Row],[Age]]&lt;60),"Adult",IF(Table1[[#This Row],[Age]]&lt;18,"Child")))</f>
        <v>Senior Citizen</v>
      </c>
      <c r="L245" s="19"/>
    </row>
    <row r="246" spans="1:12" x14ac:dyDescent="0.25">
      <c r="A246" s="11" t="s">
        <v>271</v>
      </c>
      <c r="B246" s="11" t="s">
        <v>10</v>
      </c>
      <c r="C246" s="11" t="s">
        <v>23</v>
      </c>
      <c r="D246" s="11" t="s">
        <v>16</v>
      </c>
      <c r="E246" s="11" t="s">
        <v>17</v>
      </c>
      <c r="F246" s="11">
        <v>83</v>
      </c>
      <c r="G246" s="11">
        <v>21897.57</v>
      </c>
      <c r="H246" s="11">
        <v>9</v>
      </c>
      <c r="I246" s="12">
        <v>46</v>
      </c>
      <c r="J246" s="15" t="str">
        <f>IF(Table1[[#This Row],[Treatment Cost]]&gt;75000,"HIGH COST","LOW COST")</f>
        <v>LOW COST</v>
      </c>
      <c r="K246" s="15" t="str">
        <f>IF(Table1[[#This Row],[Age]]&gt;=60,"Senior Citizen",IF(AND(Table1[[#This Row],[Age]]&gt;=18,Table1[[#This Row],[Age]]&lt;60),"Adult",IF(Table1[[#This Row],[Age]]&lt;18,"Child")))</f>
        <v>Senior Citizen</v>
      </c>
      <c r="L246" s="19"/>
    </row>
    <row r="247" spans="1:12" x14ac:dyDescent="0.25">
      <c r="A247" s="11" t="s">
        <v>272</v>
      </c>
      <c r="B247" s="11" t="s">
        <v>34</v>
      </c>
      <c r="C247" s="11" t="s">
        <v>40</v>
      </c>
      <c r="D247" s="11" t="s">
        <v>26</v>
      </c>
      <c r="E247" s="11" t="s">
        <v>29</v>
      </c>
      <c r="F247" s="11">
        <v>37</v>
      </c>
      <c r="G247" s="11">
        <v>69964.509999999995</v>
      </c>
      <c r="H247" s="11">
        <v>3</v>
      </c>
      <c r="I247" s="12">
        <v>58</v>
      </c>
      <c r="J247" s="15" t="str">
        <f>IF(Table1[[#This Row],[Treatment Cost]]&gt;75000,"HIGH COST","LOW COST")</f>
        <v>LOW COST</v>
      </c>
      <c r="K247" s="15" t="str">
        <f>IF(Table1[[#This Row],[Age]]&gt;=60,"Senior Citizen",IF(AND(Table1[[#This Row],[Age]]&gt;=18,Table1[[#This Row],[Age]]&lt;60),"Adult",IF(Table1[[#This Row],[Age]]&lt;18,"Child")))</f>
        <v>Adult</v>
      </c>
      <c r="L247" s="19"/>
    </row>
    <row r="248" spans="1:12" x14ac:dyDescent="0.25">
      <c r="A248" s="11" t="s">
        <v>273</v>
      </c>
      <c r="B248" s="11" t="s">
        <v>19</v>
      </c>
      <c r="C248" s="11" t="s">
        <v>20</v>
      </c>
      <c r="D248" s="11" t="s">
        <v>26</v>
      </c>
      <c r="E248" s="11" t="s">
        <v>17</v>
      </c>
      <c r="F248" s="11">
        <v>1</v>
      </c>
      <c r="G248" s="11">
        <v>85643.23</v>
      </c>
      <c r="H248" s="11">
        <v>15</v>
      </c>
      <c r="I248" s="12">
        <v>45</v>
      </c>
      <c r="J248" s="15" t="str">
        <f>IF(Table1[[#This Row],[Treatment Cost]]&gt;75000,"HIGH COST","LOW COST")</f>
        <v>HIGH COST</v>
      </c>
      <c r="K248" s="15" t="str">
        <f>IF(Table1[[#This Row],[Age]]&gt;=60,"Senior Citizen",IF(AND(Table1[[#This Row],[Age]]&gt;=18,Table1[[#This Row],[Age]]&lt;60),"Adult",IF(Table1[[#This Row],[Age]]&lt;18,"Child")))</f>
        <v>Child</v>
      </c>
      <c r="L248" s="19"/>
    </row>
    <row r="249" spans="1:12" x14ac:dyDescent="0.25">
      <c r="A249" s="11" t="s">
        <v>274</v>
      </c>
      <c r="B249" s="11" t="s">
        <v>31</v>
      </c>
      <c r="C249" s="11" t="s">
        <v>40</v>
      </c>
      <c r="D249" s="11" t="s">
        <v>26</v>
      </c>
      <c r="E249" s="11" t="s">
        <v>17</v>
      </c>
      <c r="F249" s="11">
        <v>2</v>
      </c>
      <c r="G249" s="11">
        <v>197349.1</v>
      </c>
      <c r="H249" s="11">
        <v>20</v>
      </c>
      <c r="I249" s="12">
        <v>72</v>
      </c>
      <c r="J249" s="15" t="str">
        <f>IF(Table1[[#This Row],[Treatment Cost]]&gt;75000,"HIGH COST","LOW COST")</f>
        <v>HIGH COST</v>
      </c>
      <c r="K249" s="15" t="str">
        <f>IF(Table1[[#This Row],[Age]]&gt;=60,"Senior Citizen",IF(AND(Table1[[#This Row],[Age]]&gt;=18,Table1[[#This Row],[Age]]&lt;60),"Adult",IF(Table1[[#This Row],[Age]]&lt;18,"Child")))</f>
        <v>Child</v>
      </c>
      <c r="L249" s="19"/>
    </row>
    <row r="250" spans="1:12" x14ac:dyDescent="0.25">
      <c r="A250" s="11" t="s">
        <v>275</v>
      </c>
      <c r="B250" s="11" t="s">
        <v>34</v>
      </c>
      <c r="C250" s="11" t="s">
        <v>20</v>
      </c>
      <c r="D250" s="11" t="s">
        <v>26</v>
      </c>
      <c r="E250" s="11" t="s">
        <v>13</v>
      </c>
      <c r="F250" s="11">
        <v>86</v>
      </c>
      <c r="G250" s="11">
        <v>190398.07</v>
      </c>
      <c r="H250" s="11">
        <v>14</v>
      </c>
      <c r="I250" s="12">
        <v>76</v>
      </c>
      <c r="J250" s="15" t="str">
        <f>IF(Table1[[#This Row],[Treatment Cost]]&gt;75000,"HIGH COST","LOW COST")</f>
        <v>HIGH COST</v>
      </c>
      <c r="K250" s="15" t="str">
        <f>IF(Table1[[#This Row],[Age]]&gt;=60,"Senior Citizen",IF(AND(Table1[[#This Row],[Age]]&gt;=18,Table1[[#This Row],[Age]]&lt;60),"Adult",IF(Table1[[#This Row],[Age]]&lt;18,"Child")))</f>
        <v>Senior Citizen</v>
      </c>
      <c r="L250" s="19"/>
    </row>
    <row r="251" spans="1:12" x14ac:dyDescent="0.25">
      <c r="A251" s="11" t="s">
        <v>276</v>
      </c>
      <c r="B251" s="11" t="s">
        <v>10</v>
      </c>
      <c r="C251" s="11" t="s">
        <v>20</v>
      </c>
      <c r="D251" s="11" t="s">
        <v>16</v>
      </c>
      <c r="E251" s="11" t="s">
        <v>13</v>
      </c>
      <c r="F251" s="11">
        <v>67</v>
      </c>
      <c r="G251" s="11">
        <v>4643.7299999999996</v>
      </c>
      <c r="H251" s="11">
        <v>3</v>
      </c>
      <c r="I251" s="12">
        <v>93</v>
      </c>
      <c r="J251" s="15" t="str">
        <f>IF(Table1[[#This Row],[Treatment Cost]]&gt;75000,"HIGH COST","LOW COST")</f>
        <v>LOW COST</v>
      </c>
      <c r="K251" s="15" t="str">
        <f>IF(Table1[[#This Row],[Age]]&gt;=60,"Senior Citizen",IF(AND(Table1[[#This Row],[Age]]&gt;=18,Table1[[#This Row],[Age]]&lt;60),"Adult",IF(Table1[[#This Row],[Age]]&lt;18,"Child")))</f>
        <v>Senior Citizen</v>
      </c>
      <c r="L251" s="19"/>
    </row>
    <row r="252" spans="1:12" x14ac:dyDescent="0.25">
      <c r="A252" s="11" t="s">
        <v>277</v>
      </c>
      <c r="B252" s="11" t="s">
        <v>15</v>
      </c>
      <c r="C252" s="11" t="s">
        <v>23</v>
      </c>
      <c r="D252" s="11" t="s">
        <v>16</v>
      </c>
      <c r="E252" s="11" t="s">
        <v>17</v>
      </c>
      <c r="F252" s="11">
        <v>56</v>
      </c>
      <c r="G252" s="11">
        <v>81202.13</v>
      </c>
      <c r="H252" s="11">
        <v>21</v>
      </c>
      <c r="I252" s="12">
        <v>87</v>
      </c>
      <c r="J252" s="15" t="str">
        <f>IF(Table1[[#This Row],[Treatment Cost]]&gt;75000,"HIGH COST","LOW COST")</f>
        <v>HIGH COST</v>
      </c>
      <c r="K252" s="15" t="str">
        <f>IF(Table1[[#This Row],[Age]]&gt;=60,"Senior Citizen",IF(AND(Table1[[#This Row],[Age]]&gt;=18,Table1[[#This Row],[Age]]&lt;60),"Adult",IF(Table1[[#This Row],[Age]]&lt;18,"Child")))</f>
        <v>Adult</v>
      </c>
      <c r="L252" s="19"/>
    </row>
    <row r="253" spans="1:12" x14ac:dyDescent="0.25">
      <c r="A253" s="11" t="s">
        <v>278</v>
      </c>
      <c r="B253" s="11" t="s">
        <v>19</v>
      </c>
      <c r="C253" s="11" t="s">
        <v>23</v>
      </c>
      <c r="D253" s="11" t="s">
        <v>16</v>
      </c>
      <c r="E253" s="11" t="s">
        <v>13</v>
      </c>
      <c r="F253" s="11">
        <v>81</v>
      </c>
      <c r="G253" s="11">
        <v>99791.21</v>
      </c>
      <c r="H253" s="11">
        <v>24</v>
      </c>
      <c r="I253" s="12">
        <v>100</v>
      </c>
      <c r="J253" s="15" t="str">
        <f>IF(Table1[[#This Row],[Treatment Cost]]&gt;75000,"HIGH COST","LOW COST")</f>
        <v>HIGH COST</v>
      </c>
      <c r="K253" s="15" t="str">
        <f>IF(Table1[[#This Row],[Age]]&gt;=60,"Senior Citizen",IF(AND(Table1[[#This Row],[Age]]&gt;=18,Table1[[#This Row],[Age]]&lt;60),"Adult",IF(Table1[[#This Row],[Age]]&lt;18,"Child")))</f>
        <v>Senior Citizen</v>
      </c>
      <c r="L253" s="19"/>
    </row>
    <row r="254" spans="1:12" x14ac:dyDescent="0.25">
      <c r="A254" s="11" t="s">
        <v>279</v>
      </c>
      <c r="B254" s="11" t="s">
        <v>31</v>
      </c>
      <c r="C254" s="11" t="s">
        <v>23</v>
      </c>
      <c r="D254" s="11" t="s">
        <v>24</v>
      </c>
      <c r="E254" s="11" t="s">
        <v>13</v>
      </c>
      <c r="F254" s="11">
        <v>82</v>
      </c>
      <c r="G254" s="11">
        <v>100432.07</v>
      </c>
      <c r="H254" s="11">
        <v>11</v>
      </c>
      <c r="I254" s="12">
        <v>73</v>
      </c>
      <c r="J254" s="15" t="str">
        <f>IF(Table1[[#This Row],[Treatment Cost]]&gt;75000,"HIGH COST","LOW COST")</f>
        <v>HIGH COST</v>
      </c>
      <c r="K254" s="15" t="str">
        <f>IF(Table1[[#This Row],[Age]]&gt;=60,"Senior Citizen",IF(AND(Table1[[#This Row],[Age]]&gt;=18,Table1[[#This Row],[Age]]&lt;60),"Adult",IF(Table1[[#This Row],[Age]]&lt;18,"Child")))</f>
        <v>Senior Citizen</v>
      </c>
      <c r="L254" s="19"/>
    </row>
    <row r="255" spans="1:12" x14ac:dyDescent="0.25">
      <c r="A255" s="11" t="s">
        <v>280</v>
      </c>
      <c r="B255" s="11" t="s">
        <v>31</v>
      </c>
      <c r="C255" s="11" t="s">
        <v>23</v>
      </c>
      <c r="D255" s="11" t="s">
        <v>26</v>
      </c>
      <c r="E255" s="11" t="s">
        <v>17</v>
      </c>
      <c r="F255" s="11">
        <v>69</v>
      </c>
      <c r="G255" s="11">
        <v>57361.02</v>
      </c>
      <c r="H255" s="11">
        <v>20</v>
      </c>
      <c r="I255" s="12">
        <v>81</v>
      </c>
      <c r="J255" s="15" t="str">
        <f>IF(Table1[[#This Row],[Treatment Cost]]&gt;75000,"HIGH COST","LOW COST")</f>
        <v>LOW COST</v>
      </c>
      <c r="K255" s="15" t="str">
        <f>IF(Table1[[#This Row],[Age]]&gt;=60,"Senior Citizen",IF(AND(Table1[[#This Row],[Age]]&gt;=18,Table1[[#This Row],[Age]]&lt;60),"Adult",IF(Table1[[#This Row],[Age]]&lt;18,"Child")))</f>
        <v>Senior Citizen</v>
      </c>
      <c r="L255" s="19"/>
    </row>
    <row r="256" spans="1:12" x14ac:dyDescent="0.25">
      <c r="A256" s="11" t="s">
        <v>281</v>
      </c>
      <c r="B256" s="11" t="s">
        <v>19</v>
      </c>
      <c r="C256" s="11" t="s">
        <v>11</v>
      </c>
      <c r="D256" s="11" t="s">
        <v>16</v>
      </c>
      <c r="E256" s="11" t="s">
        <v>13</v>
      </c>
      <c r="F256" s="11">
        <v>20</v>
      </c>
      <c r="G256" s="11">
        <v>139280.57999999999</v>
      </c>
      <c r="H256" s="11">
        <v>7</v>
      </c>
      <c r="I256" s="12">
        <v>95</v>
      </c>
      <c r="J256" s="15" t="str">
        <f>IF(Table1[[#This Row],[Treatment Cost]]&gt;75000,"HIGH COST","LOW COST")</f>
        <v>HIGH COST</v>
      </c>
      <c r="K256" s="15" t="str">
        <f>IF(Table1[[#This Row],[Age]]&gt;=60,"Senior Citizen",IF(AND(Table1[[#This Row],[Age]]&gt;=18,Table1[[#This Row],[Age]]&lt;60),"Adult",IF(Table1[[#This Row],[Age]]&lt;18,"Child")))</f>
        <v>Adult</v>
      </c>
      <c r="L256" s="19"/>
    </row>
    <row r="257" spans="1:12" x14ac:dyDescent="0.25">
      <c r="A257" s="11" t="s">
        <v>282</v>
      </c>
      <c r="B257" s="11" t="s">
        <v>36</v>
      </c>
      <c r="C257" s="11" t="s">
        <v>20</v>
      </c>
      <c r="D257" s="11" t="s">
        <v>12</v>
      </c>
      <c r="E257" s="11" t="s">
        <v>13</v>
      </c>
      <c r="F257" s="11">
        <v>52</v>
      </c>
      <c r="G257" s="11">
        <v>185590.17</v>
      </c>
      <c r="H257" s="11">
        <v>7</v>
      </c>
      <c r="I257" s="12">
        <v>73</v>
      </c>
      <c r="J257" s="15" t="str">
        <f>IF(Table1[[#This Row],[Treatment Cost]]&gt;75000,"HIGH COST","LOW COST")</f>
        <v>HIGH COST</v>
      </c>
      <c r="K257" s="15" t="str">
        <f>IF(Table1[[#This Row],[Age]]&gt;=60,"Senior Citizen",IF(AND(Table1[[#This Row],[Age]]&gt;=18,Table1[[#This Row],[Age]]&lt;60),"Adult",IF(Table1[[#This Row],[Age]]&lt;18,"Child")))</f>
        <v>Adult</v>
      </c>
      <c r="L257" s="19"/>
    </row>
    <row r="258" spans="1:12" x14ac:dyDescent="0.25">
      <c r="A258" s="11" t="s">
        <v>283</v>
      </c>
      <c r="B258" s="11" t="s">
        <v>36</v>
      </c>
      <c r="C258" s="11" t="s">
        <v>11</v>
      </c>
      <c r="D258" s="11" t="s">
        <v>21</v>
      </c>
      <c r="E258" s="11" t="s">
        <v>13</v>
      </c>
      <c r="F258" s="11">
        <v>39</v>
      </c>
      <c r="G258" s="11">
        <v>172008.83</v>
      </c>
      <c r="H258" s="11">
        <v>29</v>
      </c>
      <c r="I258" s="12">
        <v>98</v>
      </c>
      <c r="J258" s="15" t="str">
        <f>IF(Table1[[#This Row],[Treatment Cost]]&gt;75000,"HIGH COST","LOW COST")</f>
        <v>HIGH COST</v>
      </c>
      <c r="K258" s="15" t="str">
        <f>IF(Table1[[#This Row],[Age]]&gt;=60,"Senior Citizen",IF(AND(Table1[[#This Row],[Age]]&gt;=18,Table1[[#This Row],[Age]]&lt;60),"Adult",IF(Table1[[#This Row],[Age]]&lt;18,"Child")))</f>
        <v>Adult</v>
      </c>
      <c r="L258" s="19"/>
    </row>
    <row r="259" spans="1:12" x14ac:dyDescent="0.25">
      <c r="A259" s="11" t="s">
        <v>284</v>
      </c>
      <c r="B259" s="11" t="s">
        <v>36</v>
      </c>
      <c r="C259" s="11" t="s">
        <v>23</v>
      </c>
      <c r="D259" s="11" t="s">
        <v>16</v>
      </c>
      <c r="E259" s="11" t="s">
        <v>17</v>
      </c>
      <c r="F259" s="11">
        <v>46</v>
      </c>
      <c r="G259" s="11">
        <v>31788.97</v>
      </c>
      <c r="H259" s="11">
        <v>10</v>
      </c>
      <c r="I259" s="12">
        <v>84</v>
      </c>
      <c r="J259" s="15" t="str">
        <f>IF(Table1[[#This Row],[Treatment Cost]]&gt;75000,"HIGH COST","LOW COST")</f>
        <v>LOW COST</v>
      </c>
      <c r="K259" s="15" t="str">
        <f>IF(Table1[[#This Row],[Age]]&gt;=60,"Senior Citizen",IF(AND(Table1[[#This Row],[Age]]&gt;=18,Table1[[#This Row],[Age]]&lt;60),"Adult",IF(Table1[[#This Row],[Age]]&lt;18,"Child")))</f>
        <v>Adult</v>
      </c>
      <c r="L259" s="19"/>
    </row>
    <row r="260" spans="1:12" x14ac:dyDescent="0.25">
      <c r="A260" s="11" t="s">
        <v>285</v>
      </c>
      <c r="B260" s="11" t="s">
        <v>19</v>
      </c>
      <c r="C260" s="11" t="s">
        <v>40</v>
      </c>
      <c r="D260" s="11" t="s">
        <v>21</v>
      </c>
      <c r="E260" s="11" t="s">
        <v>17</v>
      </c>
      <c r="F260" s="11">
        <v>64</v>
      </c>
      <c r="G260" s="11">
        <v>94958.92</v>
      </c>
      <c r="H260" s="11">
        <v>6</v>
      </c>
      <c r="I260" s="12">
        <v>75</v>
      </c>
      <c r="J260" s="15" t="str">
        <f>IF(Table1[[#This Row],[Treatment Cost]]&gt;75000,"HIGH COST","LOW COST")</f>
        <v>HIGH COST</v>
      </c>
      <c r="K260" s="15" t="str">
        <f>IF(Table1[[#This Row],[Age]]&gt;=60,"Senior Citizen",IF(AND(Table1[[#This Row],[Age]]&gt;=18,Table1[[#This Row],[Age]]&lt;60),"Adult",IF(Table1[[#This Row],[Age]]&lt;18,"Child")))</f>
        <v>Senior Citizen</v>
      </c>
      <c r="L260" s="19"/>
    </row>
    <row r="261" spans="1:12" x14ac:dyDescent="0.25">
      <c r="A261" s="11" t="s">
        <v>286</v>
      </c>
      <c r="B261" s="11" t="s">
        <v>36</v>
      </c>
      <c r="C261" s="11" t="s">
        <v>20</v>
      </c>
      <c r="D261" s="11" t="s">
        <v>24</v>
      </c>
      <c r="E261" s="11" t="s">
        <v>17</v>
      </c>
      <c r="F261" s="11">
        <v>46</v>
      </c>
      <c r="G261" s="11">
        <v>35354.32</v>
      </c>
      <c r="H261" s="11">
        <v>6</v>
      </c>
      <c r="I261" s="12">
        <v>54</v>
      </c>
      <c r="J261" s="15" t="str">
        <f>IF(Table1[[#This Row],[Treatment Cost]]&gt;75000,"HIGH COST","LOW COST")</f>
        <v>LOW COST</v>
      </c>
      <c r="K261" s="15" t="str">
        <f>IF(Table1[[#This Row],[Age]]&gt;=60,"Senior Citizen",IF(AND(Table1[[#This Row],[Age]]&gt;=18,Table1[[#This Row],[Age]]&lt;60),"Adult",IF(Table1[[#This Row],[Age]]&lt;18,"Child")))</f>
        <v>Adult</v>
      </c>
      <c r="L261" s="19"/>
    </row>
    <row r="262" spans="1:12" x14ac:dyDescent="0.25">
      <c r="A262" s="11" t="s">
        <v>287</v>
      </c>
      <c r="B262" s="11" t="s">
        <v>19</v>
      </c>
      <c r="C262" s="11" t="s">
        <v>40</v>
      </c>
      <c r="D262" s="11" t="s">
        <v>12</v>
      </c>
      <c r="E262" s="11" t="s">
        <v>29</v>
      </c>
      <c r="F262" s="11">
        <v>51</v>
      </c>
      <c r="G262" s="11">
        <v>160028.20000000001</v>
      </c>
      <c r="H262" s="11">
        <v>4</v>
      </c>
      <c r="I262" s="12">
        <v>63</v>
      </c>
      <c r="J262" s="15" t="str">
        <f>IF(Table1[[#This Row],[Treatment Cost]]&gt;75000,"HIGH COST","LOW COST")</f>
        <v>HIGH COST</v>
      </c>
      <c r="K262" s="15" t="str">
        <f>IF(Table1[[#This Row],[Age]]&gt;=60,"Senior Citizen",IF(AND(Table1[[#This Row],[Age]]&gt;=18,Table1[[#This Row],[Age]]&lt;60),"Adult",IF(Table1[[#This Row],[Age]]&lt;18,"Child")))</f>
        <v>Adult</v>
      </c>
      <c r="L262" s="19"/>
    </row>
    <row r="263" spans="1:12" x14ac:dyDescent="0.25">
      <c r="A263" s="11" t="s">
        <v>288</v>
      </c>
      <c r="B263" s="11" t="s">
        <v>19</v>
      </c>
      <c r="C263" s="11" t="s">
        <v>20</v>
      </c>
      <c r="D263" s="11" t="s">
        <v>16</v>
      </c>
      <c r="E263" s="11" t="s">
        <v>17</v>
      </c>
      <c r="F263" s="11">
        <v>63</v>
      </c>
      <c r="G263" s="11">
        <v>59234.9</v>
      </c>
      <c r="H263" s="11">
        <v>15</v>
      </c>
      <c r="I263" s="12">
        <v>81</v>
      </c>
      <c r="J263" s="15" t="str">
        <f>IF(Table1[[#This Row],[Treatment Cost]]&gt;75000,"HIGH COST","LOW COST")</f>
        <v>LOW COST</v>
      </c>
      <c r="K263" s="15" t="str">
        <f>IF(Table1[[#This Row],[Age]]&gt;=60,"Senior Citizen",IF(AND(Table1[[#This Row],[Age]]&gt;=18,Table1[[#This Row],[Age]]&lt;60),"Adult",IF(Table1[[#This Row],[Age]]&lt;18,"Child")))</f>
        <v>Senior Citizen</v>
      </c>
      <c r="L263" s="19"/>
    </row>
    <row r="264" spans="1:12" x14ac:dyDescent="0.25">
      <c r="A264" s="11" t="s">
        <v>289</v>
      </c>
      <c r="B264" s="11" t="s">
        <v>19</v>
      </c>
      <c r="C264" s="11" t="s">
        <v>23</v>
      </c>
      <c r="D264" s="11" t="s">
        <v>16</v>
      </c>
      <c r="E264" s="11" t="s">
        <v>13</v>
      </c>
      <c r="F264" s="11">
        <v>90</v>
      </c>
      <c r="G264" s="11">
        <v>16356.72</v>
      </c>
      <c r="H264" s="11">
        <v>10</v>
      </c>
      <c r="I264" s="12">
        <v>58</v>
      </c>
      <c r="J264" s="15" t="str">
        <f>IF(Table1[[#This Row],[Treatment Cost]]&gt;75000,"HIGH COST","LOW COST")</f>
        <v>LOW COST</v>
      </c>
      <c r="K264" s="15" t="str">
        <f>IF(Table1[[#This Row],[Age]]&gt;=60,"Senior Citizen",IF(AND(Table1[[#This Row],[Age]]&gt;=18,Table1[[#This Row],[Age]]&lt;60),"Adult",IF(Table1[[#This Row],[Age]]&lt;18,"Child")))</f>
        <v>Senior Citizen</v>
      </c>
      <c r="L264" s="19"/>
    </row>
    <row r="265" spans="1:12" x14ac:dyDescent="0.25">
      <c r="A265" s="11" t="s">
        <v>290</v>
      </c>
      <c r="B265" s="11" t="s">
        <v>34</v>
      </c>
      <c r="C265" s="11" t="s">
        <v>20</v>
      </c>
      <c r="D265" s="11" t="s">
        <v>26</v>
      </c>
      <c r="E265" s="11" t="s">
        <v>17</v>
      </c>
      <c r="F265" s="11">
        <v>44</v>
      </c>
      <c r="G265" s="11">
        <v>17283.400000000001</v>
      </c>
      <c r="H265" s="11">
        <v>17</v>
      </c>
      <c r="I265" s="12">
        <v>67</v>
      </c>
      <c r="J265" s="15" t="str">
        <f>IF(Table1[[#This Row],[Treatment Cost]]&gt;75000,"HIGH COST","LOW COST")</f>
        <v>LOW COST</v>
      </c>
      <c r="K265" s="15" t="str">
        <f>IF(Table1[[#This Row],[Age]]&gt;=60,"Senior Citizen",IF(AND(Table1[[#This Row],[Age]]&gt;=18,Table1[[#This Row],[Age]]&lt;60),"Adult",IF(Table1[[#This Row],[Age]]&lt;18,"Child")))</f>
        <v>Adult</v>
      </c>
      <c r="L265" s="19"/>
    </row>
    <row r="266" spans="1:12" x14ac:dyDescent="0.25">
      <c r="A266" s="11" t="s">
        <v>291</v>
      </c>
      <c r="B266" s="11" t="s">
        <v>34</v>
      </c>
      <c r="C266" s="11" t="s">
        <v>23</v>
      </c>
      <c r="D266" s="11" t="s">
        <v>12</v>
      </c>
      <c r="E266" s="11" t="s">
        <v>29</v>
      </c>
      <c r="F266" s="11">
        <v>50</v>
      </c>
      <c r="G266" s="11">
        <v>175268.68</v>
      </c>
      <c r="H266" s="11">
        <v>22</v>
      </c>
      <c r="I266" s="12">
        <v>44</v>
      </c>
      <c r="J266" s="15" t="str">
        <f>IF(Table1[[#This Row],[Treatment Cost]]&gt;75000,"HIGH COST","LOW COST")</f>
        <v>HIGH COST</v>
      </c>
      <c r="K266" s="15" t="str">
        <f>IF(Table1[[#This Row],[Age]]&gt;=60,"Senior Citizen",IF(AND(Table1[[#This Row],[Age]]&gt;=18,Table1[[#This Row],[Age]]&lt;60),"Adult",IF(Table1[[#This Row],[Age]]&lt;18,"Child")))</f>
        <v>Adult</v>
      </c>
      <c r="L266" s="19"/>
    </row>
    <row r="267" spans="1:12" x14ac:dyDescent="0.25">
      <c r="A267" s="11" t="s">
        <v>292</v>
      </c>
      <c r="B267" s="11" t="s">
        <v>19</v>
      </c>
      <c r="C267" s="11" t="s">
        <v>40</v>
      </c>
      <c r="D267" s="11" t="s">
        <v>16</v>
      </c>
      <c r="E267" s="11" t="s">
        <v>29</v>
      </c>
      <c r="F267" s="11">
        <v>40</v>
      </c>
      <c r="G267" s="11">
        <v>166151.92000000001</v>
      </c>
      <c r="H267" s="11">
        <v>1</v>
      </c>
      <c r="I267" s="12">
        <v>95</v>
      </c>
      <c r="J267" s="15" t="str">
        <f>IF(Table1[[#This Row],[Treatment Cost]]&gt;75000,"HIGH COST","LOW COST")</f>
        <v>HIGH COST</v>
      </c>
      <c r="K267" s="15" t="str">
        <f>IF(Table1[[#This Row],[Age]]&gt;=60,"Senior Citizen",IF(AND(Table1[[#This Row],[Age]]&gt;=18,Table1[[#This Row],[Age]]&lt;60),"Adult",IF(Table1[[#This Row],[Age]]&lt;18,"Child")))</f>
        <v>Adult</v>
      </c>
      <c r="L267" s="19"/>
    </row>
    <row r="268" spans="1:12" x14ac:dyDescent="0.25">
      <c r="A268" s="11" t="s">
        <v>293</v>
      </c>
      <c r="B268" s="11" t="s">
        <v>15</v>
      </c>
      <c r="C268" s="11" t="s">
        <v>20</v>
      </c>
      <c r="D268" s="11" t="s">
        <v>21</v>
      </c>
      <c r="E268" s="11" t="s">
        <v>29</v>
      </c>
      <c r="F268" s="11">
        <v>47</v>
      </c>
      <c r="G268" s="11">
        <v>31587.83</v>
      </c>
      <c r="H268" s="11">
        <v>20</v>
      </c>
      <c r="I268" s="12">
        <v>78</v>
      </c>
      <c r="J268" s="15" t="str">
        <f>IF(Table1[[#This Row],[Treatment Cost]]&gt;75000,"HIGH COST","LOW COST")</f>
        <v>LOW COST</v>
      </c>
      <c r="K268" s="15" t="str">
        <f>IF(Table1[[#This Row],[Age]]&gt;=60,"Senior Citizen",IF(AND(Table1[[#This Row],[Age]]&gt;=18,Table1[[#This Row],[Age]]&lt;60),"Adult",IF(Table1[[#This Row],[Age]]&lt;18,"Child")))</f>
        <v>Adult</v>
      </c>
      <c r="L268" s="19"/>
    </row>
    <row r="269" spans="1:12" x14ac:dyDescent="0.25">
      <c r="A269" s="11" t="s">
        <v>294</v>
      </c>
      <c r="B269" s="11" t="s">
        <v>36</v>
      </c>
      <c r="C269" s="11" t="s">
        <v>11</v>
      </c>
      <c r="D269" s="11" t="s">
        <v>26</v>
      </c>
      <c r="E269" s="11" t="s">
        <v>17</v>
      </c>
      <c r="F269" s="11">
        <v>64</v>
      </c>
      <c r="G269" s="11">
        <v>113655.92</v>
      </c>
      <c r="H269" s="11">
        <v>16</v>
      </c>
      <c r="I269" s="12">
        <v>70</v>
      </c>
      <c r="J269" s="15" t="str">
        <f>IF(Table1[[#This Row],[Treatment Cost]]&gt;75000,"HIGH COST","LOW COST")</f>
        <v>HIGH COST</v>
      </c>
      <c r="K269" s="15" t="str">
        <f>IF(Table1[[#This Row],[Age]]&gt;=60,"Senior Citizen",IF(AND(Table1[[#This Row],[Age]]&gt;=18,Table1[[#This Row],[Age]]&lt;60),"Adult",IF(Table1[[#This Row],[Age]]&lt;18,"Child")))</f>
        <v>Senior Citizen</v>
      </c>
      <c r="L269" s="19"/>
    </row>
    <row r="270" spans="1:12" x14ac:dyDescent="0.25">
      <c r="A270" s="11" t="s">
        <v>295</v>
      </c>
      <c r="B270" s="11" t="s">
        <v>34</v>
      </c>
      <c r="C270" s="11" t="s">
        <v>23</v>
      </c>
      <c r="D270" s="11" t="s">
        <v>12</v>
      </c>
      <c r="E270" s="11" t="s">
        <v>13</v>
      </c>
      <c r="F270" s="11">
        <v>52</v>
      </c>
      <c r="G270" s="11">
        <v>175628.23</v>
      </c>
      <c r="H270" s="11">
        <v>1</v>
      </c>
      <c r="I270" s="12">
        <v>94</v>
      </c>
      <c r="J270" s="15" t="str">
        <f>IF(Table1[[#This Row],[Treatment Cost]]&gt;75000,"HIGH COST","LOW COST")</f>
        <v>HIGH COST</v>
      </c>
      <c r="K270" s="15" t="str">
        <f>IF(Table1[[#This Row],[Age]]&gt;=60,"Senior Citizen",IF(AND(Table1[[#This Row],[Age]]&gt;=18,Table1[[#This Row],[Age]]&lt;60),"Adult",IF(Table1[[#This Row],[Age]]&lt;18,"Child")))</f>
        <v>Adult</v>
      </c>
      <c r="L270" s="19"/>
    </row>
    <row r="271" spans="1:12" x14ac:dyDescent="0.25">
      <c r="A271" s="11" t="s">
        <v>296</v>
      </c>
      <c r="B271" s="11" t="s">
        <v>36</v>
      </c>
      <c r="C271" s="11" t="s">
        <v>20</v>
      </c>
      <c r="D271" s="11" t="s">
        <v>21</v>
      </c>
      <c r="E271" s="11" t="s">
        <v>13</v>
      </c>
      <c r="F271" s="11">
        <v>11</v>
      </c>
      <c r="G271" s="11">
        <v>69850.91</v>
      </c>
      <c r="H271" s="11">
        <v>16</v>
      </c>
      <c r="I271" s="12">
        <v>99</v>
      </c>
      <c r="J271" s="15" t="str">
        <f>IF(Table1[[#This Row],[Treatment Cost]]&gt;75000,"HIGH COST","LOW COST")</f>
        <v>LOW COST</v>
      </c>
      <c r="K271" s="15" t="str">
        <f>IF(Table1[[#This Row],[Age]]&gt;=60,"Senior Citizen",IF(AND(Table1[[#This Row],[Age]]&gt;=18,Table1[[#This Row],[Age]]&lt;60),"Adult",IF(Table1[[#This Row],[Age]]&lt;18,"Child")))</f>
        <v>Child</v>
      </c>
      <c r="L271" s="19"/>
    </row>
    <row r="272" spans="1:12" x14ac:dyDescent="0.25">
      <c r="A272" s="11" t="s">
        <v>297</v>
      </c>
      <c r="B272" s="11" t="s">
        <v>19</v>
      </c>
      <c r="C272" s="11" t="s">
        <v>20</v>
      </c>
      <c r="D272" s="11" t="s">
        <v>12</v>
      </c>
      <c r="E272" s="11" t="s">
        <v>13</v>
      </c>
      <c r="F272" s="11">
        <v>80</v>
      </c>
      <c r="G272" s="11">
        <v>133327.62</v>
      </c>
      <c r="H272" s="11">
        <v>4</v>
      </c>
      <c r="I272" s="12">
        <v>87</v>
      </c>
      <c r="J272" s="15" t="str">
        <f>IF(Table1[[#This Row],[Treatment Cost]]&gt;75000,"HIGH COST","LOW COST")</f>
        <v>HIGH COST</v>
      </c>
      <c r="K272" s="15" t="str">
        <f>IF(Table1[[#This Row],[Age]]&gt;=60,"Senior Citizen",IF(AND(Table1[[#This Row],[Age]]&gt;=18,Table1[[#This Row],[Age]]&lt;60),"Adult",IF(Table1[[#This Row],[Age]]&lt;18,"Child")))</f>
        <v>Senior Citizen</v>
      </c>
      <c r="L272" s="19"/>
    </row>
    <row r="273" spans="1:12" x14ac:dyDescent="0.25">
      <c r="A273" s="11" t="s">
        <v>298</v>
      </c>
      <c r="B273" s="11" t="s">
        <v>10</v>
      </c>
      <c r="C273" s="11" t="s">
        <v>40</v>
      </c>
      <c r="D273" s="11" t="s">
        <v>21</v>
      </c>
      <c r="E273" s="11" t="s">
        <v>17</v>
      </c>
      <c r="F273" s="11">
        <v>14</v>
      </c>
      <c r="G273" s="11">
        <v>7932.58</v>
      </c>
      <c r="H273" s="11">
        <v>2</v>
      </c>
      <c r="I273" s="12">
        <v>84</v>
      </c>
      <c r="J273" s="15" t="str">
        <f>IF(Table1[[#This Row],[Treatment Cost]]&gt;75000,"HIGH COST","LOW COST")</f>
        <v>LOW COST</v>
      </c>
      <c r="K273" s="15" t="str">
        <f>IF(Table1[[#This Row],[Age]]&gt;=60,"Senior Citizen",IF(AND(Table1[[#This Row],[Age]]&gt;=18,Table1[[#This Row],[Age]]&lt;60),"Adult",IF(Table1[[#This Row],[Age]]&lt;18,"Child")))</f>
        <v>Child</v>
      </c>
      <c r="L273" s="19"/>
    </row>
    <row r="274" spans="1:12" x14ac:dyDescent="0.25">
      <c r="A274" s="11" t="s">
        <v>299</v>
      </c>
      <c r="B274" s="11" t="s">
        <v>10</v>
      </c>
      <c r="C274" s="11" t="s">
        <v>23</v>
      </c>
      <c r="D274" s="11" t="s">
        <v>26</v>
      </c>
      <c r="E274" s="11" t="s">
        <v>29</v>
      </c>
      <c r="F274" s="11">
        <v>28</v>
      </c>
      <c r="G274" s="11">
        <v>169402.17</v>
      </c>
      <c r="H274" s="11">
        <v>13</v>
      </c>
      <c r="I274" s="12">
        <v>84</v>
      </c>
      <c r="J274" s="15" t="str">
        <f>IF(Table1[[#This Row],[Treatment Cost]]&gt;75000,"HIGH COST","LOW COST")</f>
        <v>HIGH COST</v>
      </c>
      <c r="K274" s="15" t="str">
        <f>IF(Table1[[#This Row],[Age]]&gt;=60,"Senior Citizen",IF(AND(Table1[[#This Row],[Age]]&gt;=18,Table1[[#This Row],[Age]]&lt;60),"Adult",IF(Table1[[#This Row],[Age]]&lt;18,"Child")))</f>
        <v>Adult</v>
      </c>
      <c r="L274" s="19"/>
    </row>
    <row r="275" spans="1:12" x14ac:dyDescent="0.25">
      <c r="A275" s="11" t="s">
        <v>300</v>
      </c>
      <c r="B275" s="11" t="s">
        <v>34</v>
      </c>
      <c r="C275" s="11" t="s">
        <v>40</v>
      </c>
      <c r="D275" s="11" t="s">
        <v>16</v>
      </c>
      <c r="E275" s="11" t="s">
        <v>29</v>
      </c>
      <c r="F275" s="11">
        <v>17</v>
      </c>
      <c r="G275" s="11">
        <v>199869.24</v>
      </c>
      <c r="H275" s="11">
        <v>27</v>
      </c>
      <c r="I275" s="12">
        <v>87</v>
      </c>
      <c r="J275" s="15" t="str">
        <f>IF(Table1[[#This Row],[Treatment Cost]]&gt;75000,"HIGH COST","LOW COST")</f>
        <v>HIGH COST</v>
      </c>
      <c r="K275" s="15" t="str">
        <f>IF(Table1[[#This Row],[Age]]&gt;=60,"Senior Citizen",IF(AND(Table1[[#This Row],[Age]]&gt;=18,Table1[[#This Row],[Age]]&lt;60),"Adult",IF(Table1[[#This Row],[Age]]&lt;18,"Child")))</f>
        <v>Child</v>
      </c>
      <c r="L275" s="19"/>
    </row>
    <row r="276" spans="1:12" x14ac:dyDescent="0.25">
      <c r="A276" s="11" t="s">
        <v>301</v>
      </c>
      <c r="B276" s="11" t="s">
        <v>34</v>
      </c>
      <c r="C276" s="11" t="s">
        <v>23</v>
      </c>
      <c r="D276" s="11" t="s">
        <v>12</v>
      </c>
      <c r="E276" s="11" t="s">
        <v>17</v>
      </c>
      <c r="F276" s="11">
        <v>15</v>
      </c>
      <c r="G276" s="11">
        <v>137080.39000000001</v>
      </c>
      <c r="H276" s="11">
        <v>23</v>
      </c>
      <c r="I276" s="12">
        <v>79</v>
      </c>
      <c r="J276" s="15" t="str">
        <f>IF(Table1[[#This Row],[Treatment Cost]]&gt;75000,"HIGH COST","LOW COST")</f>
        <v>HIGH COST</v>
      </c>
      <c r="K276" s="15" t="str">
        <f>IF(Table1[[#This Row],[Age]]&gt;=60,"Senior Citizen",IF(AND(Table1[[#This Row],[Age]]&gt;=18,Table1[[#This Row],[Age]]&lt;60),"Adult",IF(Table1[[#This Row],[Age]]&lt;18,"Child")))</f>
        <v>Child</v>
      </c>
      <c r="L276" s="19"/>
    </row>
    <row r="277" spans="1:12" x14ac:dyDescent="0.25">
      <c r="A277" s="11" t="s">
        <v>302</v>
      </c>
      <c r="B277" s="11" t="s">
        <v>10</v>
      </c>
      <c r="C277" s="11" t="s">
        <v>40</v>
      </c>
      <c r="D277" s="11" t="s">
        <v>12</v>
      </c>
      <c r="E277" s="11" t="s">
        <v>17</v>
      </c>
      <c r="F277" s="11">
        <v>50</v>
      </c>
      <c r="G277" s="11">
        <v>125128.76</v>
      </c>
      <c r="H277" s="11">
        <v>12</v>
      </c>
      <c r="I277" s="12">
        <v>60</v>
      </c>
      <c r="J277" s="15" t="str">
        <f>IF(Table1[[#This Row],[Treatment Cost]]&gt;75000,"HIGH COST","LOW COST")</f>
        <v>HIGH COST</v>
      </c>
      <c r="K277" s="15" t="str">
        <f>IF(Table1[[#This Row],[Age]]&gt;=60,"Senior Citizen",IF(AND(Table1[[#This Row],[Age]]&gt;=18,Table1[[#This Row],[Age]]&lt;60),"Adult",IF(Table1[[#This Row],[Age]]&lt;18,"Child")))</f>
        <v>Adult</v>
      </c>
      <c r="L277" s="19"/>
    </row>
    <row r="278" spans="1:12" x14ac:dyDescent="0.25">
      <c r="A278" s="11" t="s">
        <v>303</v>
      </c>
      <c r="B278" s="11" t="s">
        <v>10</v>
      </c>
      <c r="C278" s="11" t="s">
        <v>11</v>
      </c>
      <c r="D278" s="11" t="s">
        <v>16</v>
      </c>
      <c r="E278" s="11" t="s">
        <v>17</v>
      </c>
      <c r="F278" s="11">
        <v>88</v>
      </c>
      <c r="G278" s="11">
        <v>62838.01</v>
      </c>
      <c r="H278" s="11">
        <v>30</v>
      </c>
      <c r="I278" s="12">
        <v>79</v>
      </c>
      <c r="J278" s="15" t="str">
        <f>IF(Table1[[#This Row],[Treatment Cost]]&gt;75000,"HIGH COST","LOW COST")</f>
        <v>LOW COST</v>
      </c>
      <c r="K278" s="15" t="str">
        <f>IF(Table1[[#This Row],[Age]]&gt;=60,"Senior Citizen",IF(AND(Table1[[#This Row],[Age]]&gt;=18,Table1[[#This Row],[Age]]&lt;60),"Adult",IF(Table1[[#This Row],[Age]]&lt;18,"Child")))</f>
        <v>Senior Citizen</v>
      </c>
      <c r="L278" s="19"/>
    </row>
    <row r="279" spans="1:12" x14ac:dyDescent="0.25">
      <c r="A279" s="11" t="s">
        <v>304</v>
      </c>
      <c r="B279" s="11" t="s">
        <v>19</v>
      </c>
      <c r="C279" s="11" t="s">
        <v>40</v>
      </c>
      <c r="D279" s="11" t="s">
        <v>24</v>
      </c>
      <c r="E279" s="11" t="s">
        <v>29</v>
      </c>
      <c r="F279" s="11">
        <v>39</v>
      </c>
      <c r="G279" s="11">
        <v>106824.76</v>
      </c>
      <c r="H279" s="11">
        <v>17</v>
      </c>
      <c r="I279" s="12">
        <v>71</v>
      </c>
      <c r="J279" s="15" t="str">
        <f>IF(Table1[[#This Row],[Treatment Cost]]&gt;75000,"HIGH COST","LOW COST")</f>
        <v>HIGH COST</v>
      </c>
      <c r="K279" s="15" t="str">
        <f>IF(Table1[[#This Row],[Age]]&gt;=60,"Senior Citizen",IF(AND(Table1[[#This Row],[Age]]&gt;=18,Table1[[#This Row],[Age]]&lt;60),"Adult",IF(Table1[[#This Row],[Age]]&lt;18,"Child")))</f>
        <v>Adult</v>
      </c>
      <c r="L279" s="19"/>
    </row>
    <row r="280" spans="1:12" x14ac:dyDescent="0.25">
      <c r="A280" s="11" t="s">
        <v>305</v>
      </c>
      <c r="B280" s="11" t="s">
        <v>36</v>
      </c>
      <c r="C280" s="11" t="s">
        <v>40</v>
      </c>
      <c r="D280" s="11" t="s">
        <v>21</v>
      </c>
      <c r="E280" s="11" t="s">
        <v>29</v>
      </c>
      <c r="F280" s="11">
        <v>44</v>
      </c>
      <c r="G280" s="11">
        <v>23060.74</v>
      </c>
      <c r="H280" s="11">
        <v>5</v>
      </c>
      <c r="I280" s="12">
        <v>41</v>
      </c>
      <c r="J280" s="15" t="str">
        <f>IF(Table1[[#This Row],[Treatment Cost]]&gt;75000,"HIGH COST","LOW COST")</f>
        <v>LOW COST</v>
      </c>
      <c r="K280" s="15" t="str">
        <f>IF(Table1[[#This Row],[Age]]&gt;=60,"Senior Citizen",IF(AND(Table1[[#This Row],[Age]]&gt;=18,Table1[[#This Row],[Age]]&lt;60),"Adult",IF(Table1[[#This Row],[Age]]&lt;18,"Child")))</f>
        <v>Adult</v>
      </c>
      <c r="L280" s="19"/>
    </row>
    <row r="281" spans="1:12" x14ac:dyDescent="0.25">
      <c r="A281" s="11" t="s">
        <v>306</v>
      </c>
      <c r="B281" s="11" t="s">
        <v>19</v>
      </c>
      <c r="C281" s="11" t="s">
        <v>40</v>
      </c>
      <c r="D281" s="11" t="s">
        <v>26</v>
      </c>
      <c r="E281" s="11" t="s">
        <v>17</v>
      </c>
      <c r="F281" s="11">
        <v>17</v>
      </c>
      <c r="G281" s="11">
        <v>86957.89</v>
      </c>
      <c r="H281" s="11">
        <v>8</v>
      </c>
      <c r="I281" s="12">
        <v>59</v>
      </c>
      <c r="J281" s="15" t="str">
        <f>IF(Table1[[#This Row],[Treatment Cost]]&gt;75000,"HIGH COST","LOW COST")</f>
        <v>HIGH COST</v>
      </c>
      <c r="K281" s="15" t="str">
        <f>IF(Table1[[#This Row],[Age]]&gt;=60,"Senior Citizen",IF(AND(Table1[[#This Row],[Age]]&gt;=18,Table1[[#This Row],[Age]]&lt;60),"Adult",IF(Table1[[#This Row],[Age]]&lt;18,"Child")))</f>
        <v>Child</v>
      </c>
      <c r="L281" s="19"/>
    </row>
    <row r="282" spans="1:12" x14ac:dyDescent="0.25">
      <c r="A282" s="11" t="s">
        <v>307</v>
      </c>
      <c r="B282" s="11" t="s">
        <v>34</v>
      </c>
      <c r="C282" s="11" t="s">
        <v>23</v>
      </c>
      <c r="D282" s="11" t="s">
        <v>16</v>
      </c>
      <c r="E282" s="11" t="s">
        <v>13</v>
      </c>
      <c r="F282" s="11">
        <v>9</v>
      </c>
      <c r="G282" s="11">
        <v>137900.64000000001</v>
      </c>
      <c r="H282" s="11">
        <v>14</v>
      </c>
      <c r="I282" s="12">
        <v>64</v>
      </c>
      <c r="J282" s="15" t="str">
        <f>IF(Table1[[#This Row],[Treatment Cost]]&gt;75000,"HIGH COST","LOW COST")</f>
        <v>HIGH COST</v>
      </c>
      <c r="K282" s="15" t="str">
        <f>IF(Table1[[#This Row],[Age]]&gt;=60,"Senior Citizen",IF(AND(Table1[[#This Row],[Age]]&gt;=18,Table1[[#This Row],[Age]]&lt;60),"Adult",IF(Table1[[#This Row],[Age]]&lt;18,"Child")))</f>
        <v>Child</v>
      </c>
      <c r="L282" s="19"/>
    </row>
    <row r="283" spans="1:12" x14ac:dyDescent="0.25">
      <c r="A283" s="11" t="s">
        <v>308</v>
      </c>
      <c r="B283" s="11" t="s">
        <v>15</v>
      </c>
      <c r="C283" s="11" t="s">
        <v>40</v>
      </c>
      <c r="D283" s="11" t="s">
        <v>24</v>
      </c>
      <c r="E283" s="11" t="s">
        <v>17</v>
      </c>
      <c r="F283" s="11">
        <v>64</v>
      </c>
      <c r="G283" s="11">
        <v>50962.15</v>
      </c>
      <c r="H283" s="11">
        <v>25</v>
      </c>
      <c r="I283" s="12">
        <v>65</v>
      </c>
      <c r="J283" s="15" t="str">
        <f>IF(Table1[[#This Row],[Treatment Cost]]&gt;75000,"HIGH COST","LOW COST")</f>
        <v>LOW COST</v>
      </c>
      <c r="K283" s="15" t="str">
        <f>IF(Table1[[#This Row],[Age]]&gt;=60,"Senior Citizen",IF(AND(Table1[[#This Row],[Age]]&gt;=18,Table1[[#This Row],[Age]]&lt;60),"Adult",IF(Table1[[#This Row],[Age]]&lt;18,"Child")))</f>
        <v>Senior Citizen</v>
      </c>
      <c r="L283" s="19"/>
    </row>
    <row r="284" spans="1:12" x14ac:dyDescent="0.25">
      <c r="A284" s="11" t="s">
        <v>309</v>
      </c>
      <c r="B284" s="11" t="s">
        <v>19</v>
      </c>
      <c r="C284" s="11" t="s">
        <v>23</v>
      </c>
      <c r="D284" s="11" t="s">
        <v>24</v>
      </c>
      <c r="E284" s="11" t="s">
        <v>13</v>
      </c>
      <c r="F284" s="11">
        <v>68</v>
      </c>
      <c r="G284" s="11">
        <v>35147.9</v>
      </c>
      <c r="H284" s="11">
        <v>25</v>
      </c>
      <c r="I284" s="12">
        <v>51</v>
      </c>
      <c r="J284" s="15" t="str">
        <f>IF(Table1[[#This Row],[Treatment Cost]]&gt;75000,"HIGH COST","LOW COST")</f>
        <v>LOW COST</v>
      </c>
      <c r="K284" s="15" t="str">
        <f>IF(Table1[[#This Row],[Age]]&gt;=60,"Senior Citizen",IF(AND(Table1[[#This Row],[Age]]&gt;=18,Table1[[#This Row],[Age]]&lt;60),"Adult",IF(Table1[[#This Row],[Age]]&lt;18,"Child")))</f>
        <v>Senior Citizen</v>
      </c>
      <c r="L284" s="19"/>
    </row>
    <row r="285" spans="1:12" x14ac:dyDescent="0.25">
      <c r="A285" s="11" t="s">
        <v>310</v>
      </c>
      <c r="B285" s="11" t="s">
        <v>36</v>
      </c>
      <c r="C285" s="11" t="s">
        <v>20</v>
      </c>
      <c r="D285" s="11" t="s">
        <v>24</v>
      </c>
      <c r="E285" s="11" t="s">
        <v>17</v>
      </c>
      <c r="F285" s="11">
        <v>31</v>
      </c>
      <c r="G285" s="11">
        <v>137726.19</v>
      </c>
      <c r="H285" s="11">
        <v>9</v>
      </c>
      <c r="I285" s="12">
        <v>71</v>
      </c>
      <c r="J285" s="15" t="str">
        <f>IF(Table1[[#This Row],[Treatment Cost]]&gt;75000,"HIGH COST","LOW COST")</f>
        <v>HIGH COST</v>
      </c>
      <c r="K285" s="15" t="str">
        <f>IF(Table1[[#This Row],[Age]]&gt;=60,"Senior Citizen",IF(AND(Table1[[#This Row],[Age]]&gt;=18,Table1[[#This Row],[Age]]&lt;60),"Adult",IF(Table1[[#This Row],[Age]]&lt;18,"Child")))</f>
        <v>Adult</v>
      </c>
      <c r="L285" s="19"/>
    </row>
    <row r="286" spans="1:12" x14ac:dyDescent="0.25">
      <c r="A286" s="11" t="s">
        <v>311</v>
      </c>
      <c r="B286" s="11" t="s">
        <v>19</v>
      </c>
      <c r="C286" s="11" t="s">
        <v>11</v>
      </c>
      <c r="D286" s="11" t="s">
        <v>21</v>
      </c>
      <c r="E286" s="11" t="s">
        <v>17</v>
      </c>
      <c r="F286" s="11">
        <v>59</v>
      </c>
      <c r="G286" s="11">
        <v>117445.87</v>
      </c>
      <c r="H286" s="11">
        <v>1</v>
      </c>
      <c r="I286" s="12">
        <v>89</v>
      </c>
      <c r="J286" s="15" t="str">
        <f>IF(Table1[[#This Row],[Treatment Cost]]&gt;75000,"HIGH COST","LOW COST")</f>
        <v>HIGH COST</v>
      </c>
      <c r="K286" s="15" t="str">
        <f>IF(Table1[[#This Row],[Age]]&gt;=60,"Senior Citizen",IF(AND(Table1[[#This Row],[Age]]&gt;=18,Table1[[#This Row],[Age]]&lt;60),"Adult",IF(Table1[[#This Row],[Age]]&lt;18,"Child")))</f>
        <v>Adult</v>
      </c>
      <c r="L286" s="19"/>
    </row>
    <row r="287" spans="1:12" x14ac:dyDescent="0.25">
      <c r="A287" s="11" t="s">
        <v>312</v>
      </c>
      <c r="B287" s="11" t="s">
        <v>31</v>
      </c>
      <c r="C287" s="11" t="s">
        <v>20</v>
      </c>
      <c r="D287" s="11" t="s">
        <v>21</v>
      </c>
      <c r="E287" s="11" t="s">
        <v>13</v>
      </c>
      <c r="F287" s="11">
        <v>12</v>
      </c>
      <c r="G287" s="11">
        <v>135749.99</v>
      </c>
      <c r="H287" s="11">
        <v>24</v>
      </c>
      <c r="I287" s="12">
        <v>70</v>
      </c>
      <c r="J287" s="15" t="str">
        <f>IF(Table1[[#This Row],[Treatment Cost]]&gt;75000,"HIGH COST","LOW COST")</f>
        <v>HIGH COST</v>
      </c>
      <c r="K287" s="15" t="str">
        <f>IF(Table1[[#This Row],[Age]]&gt;=60,"Senior Citizen",IF(AND(Table1[[#This Row],[Age]]&gt;=18,Table1[[#This Row],[Age]]&lt;60),"Adult",IF(Table1[[#This Row],[Age]]&lt;18,"Child")))</f>
        <v>Child</v>
      </c>
      <c r="L287" s="19"/>
    </row>
    <row r="288" spans="1:12" x14ac:dyDescent="0.25">
      <c r="A288" s="11" t="s">
        <v>313</v>
      </c>
      <c r="B288" s="11" t="s">
        <v>15</v>
      </c>
      <c r="C288" s="11" t="s">
        <v>20</v>
      </c>
      <c r="D288" s="11" t="s">
        <v>24</v>
      </c>
      <c r="E288" s="11" t="s">
        <v>13</v>
      </c>
      <c r="F288" s="11">
        <v>79</v>
      </c>
      <c r="G288" s="11">
        <v>24390.05</v>
      </c>
      <c r="H288" s="11">
        <v>17</v>
      </c>
      <c r="I288" s="12">
        <v>51</v>
      </c>
      <c r="J288" s="15" t="str">
        <f>IF(Table1[[#This Row],[Treatment Cost]]&gt;75000,"HIGH COST","LOW COST")</f>
        <v>LOW COST</v>
      </c>
      <c r="K288" s="15" t="str">
        <f>IF(Table1[[#This Row],[Age]]&gt;=60,"Senior Citizen",IF(AND(Table1[[#This Row],[Age]]&gt;=18,Table1[[#This Row],[Age]]&lt;60),"Adult",IF(Table1[[#This Row],[Age]]&lt;18,"Child")))</f>
        <v>Senior Citizen</v>
      </c>
      <c r="L288" s="19"/>
    </row>
    <row r="289" spans="1:12" x14ac:dyDescent="0.25">
      <c r="A289" s="11" t="s">
        <v>314</v>
      </c>
      <c r="B289" s="11" t="s">
        <v>19</v>
      </c>
      <c r="C289" s="11" t="s">
        <v>40</v>
      </c>
      <c r="D289" s="11" t="s">
        <v>26</v>
      </c>
      <c r="E289" s="11" t="s">
        <v>13</v>
      </c>
      <c r="F289" s="11">
        <v>82</v>
      </c>
      <c r="G289" s="11">
        <v>109766.23</v>
      </c>
      <c r="H289" s="11">
        <v>13</v>
      </c>
      <c r="I289" s="12">
        <v>57</v>
      </c>
      <c r="J289" s="15" t="str">
        <f>IF(Table1[[#This Row],[Treatment Cost]]&gt;75000,"HIGH COST","LOW COST")</f>
        <v>HIGH COST</v>
      </c>
      <c r="K289" s="15" t="str">
        <f>IF(Table1[[#This Row],[Age]]&gt;=60,"Senior Citizen",IF(AND(Table1[[#This Row],[Age]]&gt;=18,Table1[[#This Row],[Age]]&lt;60),"Adult",IF(Table1[[#This Row],[Age]]&lt;18,"Child")))</f>
        <v>Senior Citizen</v>
      </c>
      <c r="L289" s="19"/>
    </row>
    <row r="290" spans="1:12" x14ac:dyDescent="0.25">
      <c r="A290" s="11" t="s">
        <v>315</v>
      </c>
      <c r="B290" s="11" t="s">
        <v>34</v>
      </c>
      <c r="C290" s="11" t="s">
        <v>11</v>
      </c>
      <c r="D290" s="11" t="s">
        <v>21</v>
      </c>
      <c r="E290" s="11" t="s">
        <v>17</v>
      </c>
      <c r="F290" s="11">
        <v>7</v>
      </c>
      <c r="G290" s="11">
        <v>30643.19</v>
      </c>
      <c r="H290" s="11">
        <v>13</v>
      </c>
      <c r="I290" s="12">
        <v>75</v>
      </c>
      <c r="J290" s="15" t="str">
        <f>IF(Table1[[#This Row],[Treatment Cost]]&gt;75000,"HIGH COST","LOW COST")</f>
        <v>LOW COST</v>
      </c>
      <c r="K290" s="15" t="str">
        <f>IF(Table1[[#This Row],[Age]]&gt;=60,"Senior Citizen",IF(AND(Table1[[#This Row],[Age]]&gt;=18,Table1[[#This Row],[Age]]&lt;60),"Adult",IF(Table1[[#This Row],[Age]]&lt;18,"Child")))</f>
        <v>Child</v>
      </c>
      <c r="L290" s="19"/>
    </row>
    <row r="291" spans="1:12" x14ac:dyDescent="0.25">
      <c r="A291" s="11" t="s">
        <v>316</v>
      </c>
      <c r="B291" s="11" t="s">
        <v>34</v>
      </c>
      <c r="C291" s="11" t="s">
        <v>11</v>
      </c>
      <c r="D291" s="11" t="s">
        <v>12</v>
      </c>
      <c r="E291" s="11" t="s">
        <v>17</v>
      </c>
      <c r="F291" s="11">
        <v>56</v>
      </c>
      <c r="G291" s="11">
        <v>108867.8</v>
      </c>
      <c r="H291" s="11">
        <v>17</v>
      </c>
      <c r="I291" s="12">
        <v>74</v>
      </c>
      <c r="J291" s="15" t="str">
        <f>IF(Table1[[#This Row],[Treatment Cost]]&gt;75000,"HIGH COST","LOW COST")</f>
        <v>HIGH COST</v>
      </c>
      <c r="K291" s="15" t="str">
        <f>IF(Table1[[#This Row],[Age]]&gt;=60,"Senior Citizen",IF(AND(Table1[[#This Row],[Age]]&gt;=18,Table1[[#This Row],[Age]]&lt;60),"Adult",IF(Table1[[#This Row],[Age]]&lt;18,"Child")))</f>
        <v>Adult</v>
      </c>
      <c r="L291" s="19"/>
    </row>
    <row r="292" spans="1:12" x14ac:dyDescent="0.25">
      <c r="A292" s="11" t="s">
        <v>317</v>
      </c>
      <c r="B292" s="11" t="s">
        <v>31</v>
      </c>
      <c r="C292" s="11" t="s">
        <v>23</v>
      </c>
      <c r="D292" s="11" t="s">
        <v>12</v>
      </c>
      <c r="E292" s="11" t="s">
        <v>29</v>
      </c>
      <c r="F292" s="11">
        <v>32</v>
      </c>
      <c r="G292" s="11">
        <v>142241.79</v>
      </c>
      <c r="H292" s="11">
        <v>19</v>
      </c>
      <c r="I292" s="12">
        <v>62</v>
      </c>
      <c r="J292" s="15" t="str">
        <f>IF(Table1[[#This Row],[Treatment Cost]]&gt;75000,"HIGH COST","LOW COST")</f>
        <v>HIGH COST</v>
      </c>
      <c r="K292" s="15" t="str">
        <f>IF(Table1[[#This Row],[Age]]&gt;=60,"Senior Citizen",IF(AND(Table1[[#This Row],[Age]]&gt;=18,Table1[[#This Row],[Age]]&lt;60),"Adult",IF(Table1[[#This Row],[Age]]&lt;18,"Child")))</f>
        <v>Adult</v>
      </c>
      <c r="L292" s="19"/>
    </row>
    <row r="293" spans="1:12" x14ac:dyDescent="0.25">
      <c r="A293" s="11" t="s">
        <v>318</v>
      </c>
      <c r="B293" s="11" t="s">
        <v>34</v>
      </c>
      <c r="C293" s="11" t="s">
        <v>40</v>
      </c>
      <c r="D293" s="11" t="s">
        <v>26</v>
      </c>
      <c r="E293" s="11" t="s">
        <v>13</v>
      </c>
      <c r="F293" s="11">
        <v>53</v>
      </c>
      <c r="G293" s="11">
        <v>33286.449999999997</v>
      </c>
      <c r="H293" s="11">
        <v>17</v>
      </c>
      <c r="I293" s="12">
        <v>83</v>
      </c>
      <c r="J293" s="15" t="str">
        <f>IF(Table1[[#This Row],[Treatment Cost]]&gt;75000,"HIGH COST","LOW COST")</f>
        <v>LOW COST</v>
      </c>
      <c r="K293" s="15" t="str">
        <f>IF(Table1[[#This Row],[Age]]&gt;=60,"Senior Citizen",IF(AND(Table1[[#This Row],[Age]]&gt;=18,Table1[[#This Row],[Age]]&lt;60),"Adult",IF(Table1[[#This Row],[Age]]&lt;18,"Child")))</f>
        <v>Adult</v>
      </c>
      <c r="L293" s="19"/>
    </row>
    <row r="294" spans="1:12" x14ac:dyDescent="0.25">
      <c r="A294" s="11" t="s">
        <v>319</v>
      </c>
      <c r="B294" s="11" t="s">
        <v>34</v>
      </c>
      <c r="C294" s="11" t="s">
        <v>11</v>
      </c>
      <c r="D294" s="11" t="s">
        <v>12</v>
      </c>
      <c r="E294" s="11" t="s">
        <v>17</v>
      </c>
      <c r="F294" s="11">
        <v>7</v>
      </c>
      <c r="G294" s="11">
        <v>70999.03</v>
      </c>
      <c r="H294" s="11">
        <v>7</v>
      </c>
      <c r="I294" s="12">
        <v>55</v>
      </c>
      <c r="J294" s="15" t="str">
        <f>IF(Table1[[#This Row],[Treatment Cost]]&gt;75000,"HIGH COST","LOW COST")</f>
        <v>LOW COST</v>
      </c>
      <c r="K294" s="15" t="str">
        <f>IF(Table1[[#This Row],[Age]]&gt;=60,"Senior Citizen",IF(AND(Table1[[#This Row],[Age]]&gt;=18,Table1[[#This Row],[Age]]&lt;60),"Adult",IF(Table1[[#This Row],[Age]]&lt;18,"Child")))</f>
        <v>Child</v>
      </c>
      <c r="L294" s="19"/>
    </row>
    <row r="295" spans="1:12" x14ac:dyDescent="0.25">
      <c r="A295" s="11" t="s">
        <v>320</v>
      </c>
      <c r="B295" s="11" t="s">
        <v>36</v>
      </c>
      <c r="C295" s="11" t="s">
        <v>23</v>
      </c>
      <c r="D295" s="11" t="s">
        <v>12</v>
      </c>
      <c r="E295" s="11" t="s">
        <v>29</v>
      </c>
      <c r="F295" s="11">
        <v>71</v>
      </c>
      <c r="G295" s="11">
        <v>18285.22</v>
      </c>
      <c r="H295" s="11">
        <v>3</v>
      </c>
      <c r="I295" s="12">
        <v>50</v>
      </c>
      <c r="J295" s="15" t="str">
        <f>IF(Table1[[#This Row],[Treatment Cost]]&gt;75000,"HIGH COST","LOW COST")</f>
        <v>LOW COST</v>
      </c>
      <c r="K295" s="15" t="str">
        <f>IF(Table1[[#This Row],[Age]]&gt;=60,"Senior Citizen",IF(AND(Table1[[#This Row],[Age]]&gt;=18,Table1[[#This Row],[Age]]&lt;60),"Adult",IF(Table1[[#This Row],[Age]]&lt;18,"Child")))</f>
        <v>Senior Citizen</v>
      </c>
      <c r="L295" s="19"/>
    </row>
    <row r="296" spans="1:12" x14ac:dyDescent="0.25">
      <c r="A296" s="11" t="s">
        <v>321</v>
      </c>
      <c r="B296" s="11" t="s">
        <v>31</v>
      </c>
      <c r="C296" s="11" t="s">
        <v>23</v>
      </c>
      <c r="D296" s="11" t="s">
        <v>16</v>
      </c>
      <c r="E296" s="11" t="s">
        <v>17</v>
      </c>
      <c r="F296" s="11">
        <v>27</v>
      </c>
      <c r="G296" s="11">
        <v>108969.85</v>
      </c>
      <c r="H296" s="11">
        <v>12</v>
      </c>
      <c r="I296" s="12">
        <v>47</v>
      </c>
      <c r="J296" s="15" t="str">
        <f>IF(Table1[[#This Row],[Treatment Cost]]&gt;75000,"HIGH COST","LOW COST")</f>
        <v>HIGH COST</v>
      </c>
      <c r="K296" s="15" t="str">
        <f>IF(Table1[[#This Row],[Age]]&gt;=60,"Senior Citizen",IF(AND(Table1[[#This Row],[Age]]&gt;=18,Table1[[#This Row],[Age]]&lt;60),"Adult",IF(Table1[[#This Row],[Age]]&lt;18,"Child")))</f>
        <v>Adult</v>
      </c>
      <c r="L296" s="19"/>
    </row>
    <row r="297" spans="1:12" x14ac:dyDescent="0.25">
      <c r="A297" s="11" t="s">
        <v>322</v>
      </c>
      <c r="B297" s="11" t="s">
        <v>34</v>
      </c>
      <c r="C297" s="11" t="s">
        <v>40</v>
      </c>
      <c r="D297" s="11" t="s">
        <v>26</v>
      </c>
      <c r="E297" s="11" t="s">
        <v>17</v>
      </c>
      <c r="F297" s="11">
        <v>90</v>
      </c>
      <c r="G297" s="11">
        <v>30781.93</v>
      </c>
      <c r="H297" s="11">
        <v>7</v>
      </c>
      <c r="I297" s="12">
        <v>91</v>
      </c>
      <c r="J297" s="15" t="str">
        <f>IF(Table1[[#This Row],[Treatment Cost]]&gt;75000,"HIGH COST","LOW COST")</f>
        <v>LOW COST</v>
      </c>
      <c r="K297" s="15" t="str">
        <f>IF(Table1[[#This Row],[Age]]&gt;=60,"Senior Citizen",IF(AND(Table1[[#This Row],[Age]]&gt;=18,Table1[[#This Row],[Age]]&lt;60),"Adult",IF(Table1[[#This Row],[Age]]&lt;18,"Child")))</f>
        <v>Senior Citizen</v>
      </c>
      <c r="L297" s="19"/>
    </row>
    <row r="298" spans="1:12" x14ac:dyDescent="0.25">
      <c r="A298" s="11" t="s">
        <v>323</v>
      </c>
      <c r="B298" s="11" t="s">
        <v>34</v>
      </c>
      <c r="C298" s="11" t="s">
        <v>20</v>
      </c>
      <c r="D298" s="11" t="s">
        <v>21</v>
      </c>
      <c r="E298" s="11" t="s">
        <v>17</v>
      </c>
      <c r="F298" s="11">
        <v>79</v>
      </c>
      <c r="G298" s="11">
        <v>60734.48</v>
      </c>
      <c r="H298" s="11">
        <v>28</v>
      </c>
      <c r="I298" s="12">
        <v>66</v>
      </c>
      <c r="J298" s="15" t="str">
        <f>IF(Table1[[#This Row],[Treatment Cost]]&gt;75000,"HIGH COST","LOW COST")</f>
        <v>LOW COST</v>
      </c>
      <c r="K298" s="15" t="str">
        <f>IF(Table1[[#This Row],[Age]]&gt;=60,"Senior Citizen",IF(AND(Table1[[#This Row],[Age]]&gt;=18,Table1[[#This Row],[Age]]&lt;60),"Adult",IF(Table1[[#This Row],[Age]]&lt;18,"Child")))</f>
        <v>Senior Citizen</v>
      </c>
      <c r="L298" s="19"/>
    </row>
    <row r="299" spans="1:12" x14ac:dyDescent="0.25">
      <c r="A299" s="11" t="s">
        <v>324</v>
      </c>
      <c r="B299" s="11" t="s">
        <v>31</v>
      </c>
      <c r="C299" s="11" t="s">
        <v>20</v>
      </c>
      <c r="D299" s="11" t="s">
        <v>16</v>
      </c>
      <c r="E299" s="11" t="s">
        <v>17</v>
      </c>
      <c r="F299" s="11">
        <v>34</v>
      </c>
      <c r="G299" s="11">
        <v>73054.080000000002</v>
      </c>
      <c r="H299" s="11">
        <v>29</v>
      </c>
      <c r="I299" s="12">
        <v>46</v>
      </c>
      <c r="J299" s="15" t="str">
        <f>IF(Table1[[#This Row],[Treatment Cost]]&gt;75000,"HIGH COST","LOW COST")</f>
        <v>LOW COST</v>
      </c>
      <c r="K299" s="15" t="str">
        <f>IF(Table1[[#This Row],[Age]]&gt;=60,"Senior Citizen",IF(AND(Table1[[#This Row],[Age]]&gt;=18,Table1[[#This Row],[Age]]&lt;60),"Adult",IF(Table1[[#This Row],[Age]]&lt;18,"Child")))</f>
        <v>Adult</v>
      </c>
      <c r="L299" s="19"/>
    </row>
    <row r="300" spans="1:12" x14ac:dyDescent="0.25">
      <c r="A300" s="11" t="s">
        <v>325</v>
      </c>
      <c r="B300" s="11" t="s">
        <v>36</v>
      </c>
      <c r="C300" s="11" t="s">
        <v>40</v>
      </c>
      <c r="D300" s="11" t="s">
        <v>12</v>
      </c>
      <c r="E300" s="11" t="s">
        <v>17</v>
      </c>
      <c r="F300" s="11">
        <v>75</v>
      </c>
      <c r="G300" s="11">
        <v>196841.25</v>
      </c>
      <c r="H300" s="11">
        <v>26</v>
      </c>
      <c r="I300" s="12">
        <v>59</v>
      </c>
      <c r="J300" s="15" t="str">
        <f>IF(Table1[[#This Row],[Treatment Cost]]&gt;75000,"HIGH COST","LOW COST")</f>
        <v>HIGH COST</v>
      </c>
      <c r="K300" s="15" t="str">
        <f>IF(Table1[[#This Row],[Age]]&gt;=60,"Senior Citizen",IF(AND(Table1[[#This Row],[Age]]&gt;=18,Table1[[#This Row],[Age]]&lt;60),"Adult",IF(Table1[[#This Row],[Age]]&lt;18,"Child")))</f>
        <v>Senior Citizen</v>
      </c>
      <c r="L300" s="19"/>
    </row>
    <row r="301" spans="1:12" x14ac:dyDescent="0.25">
      <c r="A301" s="11" t="s">
        <v>326</v>
      </c>
      <c r="B301" s="11" t="s">
        <v>19</v>
      </c>
      <c r="C301" s="11" t="s">
        <v>20</v>
      </c>
      <c r="D301" s="11" t="s">
        <v>16</v>
      </c>
      <c r="E301" s="11" t="s">
        <v>29</v>
      </c>
      <c r="F301" s="11">
        <v>73</v>
      </c>
      <c r="G301" s="11">
        <v>121165.95</v>
      </c>
      <c r="H301" s="11">
        <v>5</v>
      </c>
      <c r="I301" s="12">
        <v>83</v>
      </c>
      <c r="J301" s="15" t="str">
        <f>IF(Table1[[#This Row],[Treatment Cost]]&gt;75000,"HIGH COST","LOW COST")</f>
        <v>HIGH COST</v>
      </c>
      <c r="K301" s="15" t="str">
        <f>IF(Table1[[#This Row],[Age]]&gt;=60,"Senior Citizen",IF(AND(Table1[[#This Row],[Age]]&gt;=18,Table1[[#This Row],[Age]]&lt;60),"Adult",IF(Table1[[#This Row],[Age]]&lt;18,"Child")))</f>
        <v>Senior Citizen</v>
      </c>
      <c r="L301" s="19"/>
    </row>
    <row r="302" spans="1:12" x14ac:dyDescent="0.25">
      <c r="A302" s="11" t="s">
        <v>327</v>
      </c>
      <c r="B302" s="11" t="s">
        <v>10</v>
      </c>
      <c r="C302" s="11" t="s">
        <v>11</v>
      </c>
      <c r="D302" s="11" t="s">
        <v>12</v>
      </c>
      <c r="E302" s="11" t="s">
        <v>29</v>
      </c>
      <c r="F302" s="11">
        <v>40</v>
      </c>
      <c r="G302" s="11">
        <v>146554.85</v>
      </c>
      <c r="H302" s="11">
        <v>23</v>
      </c>
      <c r="I302" s="12">
        <v>52</v>
      </c>
      <c r="J302" s="15" t="str">
        <f>IF(Table1[[#This Row],[Treatment Cost]]&gt;75000,"HIGH COST","LOW COST")</f>
        <v>HIGH COST</v>
      </c>
      <c r="K302" s="15" t="str">
        <f>IF(Table1[[#This Row],[Age]]&gt;=60,"Senior Citizen",IF(AND(Table1[[#This Row],[Age]]&gt;=18,Table1[[#This Row],[Age]]&lt;60),"Adult",IF(Table1[[#This Row],[Age]]&lt;18,"Child")))</f>
        <v>Adult</v>
      </c>
      <c r="L302" s="19"/>
    </row>
    <row r="303" spans="1:12" x14ac:dyDescent="0.25">
      <c r="A303" s="11" t="s">
        <v>328</v>
      </c>
      <c r="B303" s="11" t="s">
        <v>19</v>
      </c>
      <c r="C303" s="11" t="s">
        <v>40</v>
      </c>
      <c r="D303" s="11" t="s">
        <v>26</v>
      </c>
      <c r="E303" s="11" t="s">
        <v>17</v>
      </c>
      <c r="F303" s="11">
        <v>71</v>
      </c>
      <c r="G303" s="11">
        <v>197491.32</v>
      </c>
      <c r="H303" s="11">
        <v>15</v>
      </c>
      <c r="I303" s="12">
        <v>44</v>
      </c>
      <c r="J303" s="15" t="str">
        <f>IF(Table1[[#This Row],[Treatment Cost]]&gt;75000,"HIGH COST","LOW COST")</f>
        <v>HIGH COST</v>
      </c>
      <c r="K303" s="15" t="str">
        <f>IF(Table1[[#This Row],[Age]]&gt;=60,"Senior Citizen",IF(AND(Table1[[#This Row],[Age]]&gt;=18,Table1[[#This Row],[Age]]&lt;60),"Adult",IF(Table1[[#This Row],[Age]]&lt;18,"Child")))</f>
        <v>Senior Citizen</v>
      </c>
      <c r="L303" s="19"/>
    </row>
    <row r="304" spans="1:12" x14ac:dyDescent="0.25">
      <c r="A304" s="11" t="s">
        <v>329</v>
      </c>
      <c r="B304" s="11" t="s">
        <v>34</v>
      </c>
      <c r="C304" s="11" t="s">
        <v>23</v>
      </c>
      <c r="D304" s="11" t="s">
        <v>16</v>
      </c>
      <c r="E304" s="11" t="s">
        <v>13</v>
      </c>
      <c r="F304" s="11">
        <v>61</v>
      </c>
      <c r="G304" s="11">
        <v>37774.18</v>
      </c>
      <c r="H304" s="11">
        <v>16</v>
      </c>
      <c r="I304" s="12">
        <v>59</v>
      </c>
      <c r="J304" s="15" t="str">
        <f>IF(Table1[[#This Row],[Treatment Cost]]&gt;75000,"HIGH COST","LOW COST")</f>
        <v>LOW COST</v>
      </c>
      <c r="K304" s="15" t="str">
        <f>IF(Table1[[#This Row],[Age]]&gt;=60,"Senior Citizen",IF(AND(Table1[[#This Row],[Age]]&gt;=18,Table1[[#This Row],[Age]]&lt;60),"Adult",IF(Table1[[#This Row],[Age]]&lt;18,"Child")))</f>
        <v>Senior Citizen</v>
      </c>
      <c r="L304" s="19"/>
    </row>
    <row r="305" spans="1:12" x14ac:dyDescent="0.25">
      <c r="A305" s="11" t="s">
        <v>330</v>
      </c>
      <c r="B305" s="11" t="s">
        <v>36</v>
      </c>
      <c r="C305" s="11" t="s">
        <v>11</v>
      </c>
      <c r="D305" s="11" t="s">
        <v>24</v>
      </c>
      <c r="E305" s="11" t="s">
        <v>13</v>
      </c>
      <c r="F305" s="11">
        <v>35</v>
      </c>
      <c r="G305" s="11">
        <v>154307.26</v>
      </c>
      <c r="H305" s="11">
        <v>26</v>
      </c>
      <c r="I305" s="12">
        <v>76</v>
      </c>
      <c r="J305" s="15" t="str">
        <f>IF(Table1[[#This Row],[Treatment Cost]]&gt;75000,"HIGH COST","LOW COST")</f>
        <v>HIGH COST</v>
      </c>
      <c r="K305" s="15" t="str">
        <f>IF(Table1[[#This Row],[Age]]&gt;=60,"Senior Citizen",IF(AND(Table1[[#This Row],[Age]]&gt;=18,Table1[[#This Row],[Age]]&lt;60),"Adult",IF(Table1[[#This Row],[Age]]&lt;18,"Child")))</f>
        <v>Adult</v>
      </c>
      <c r="L305" s="19"/>
    </row>
    <row r="306" spans="1:12" x14ac:dyDescent="0.25">
      <c r="A306" s="11" t="s">
        <v>331</v>
      </c>
      <c r="B306" s="11" t="s">
        <v>15</v>
      </c>
      <c r="C306" s="11" t="s">
        <v>11</v>
      </c>
      <c r="D306" s="11" t="s">
        <v>24</v>
      </c>
      <c r="E306" s="11" t="s">
        <v>17</v>
      </c>
      <c r="F306" s="11">
        <v>20</v>
      </c>
      <c r="G306" s="11">
        <v>33249.980000000003</v>
      </c>
      <c r="H306" s="11">
        <v>28</v>
      </c>
      <c r="I306" s="12">
        <v>64</v>
      </c>
      <c r="J306" s="15" t="str">
        <f>IF(Table1[[#This Row],[Treatment Cost]]&gt;75000,"HIGH COST","LOW COST")</f>
        <v>LOW COST</v>
      </c>
      <c r="K306" s="15" t="str">
        <f>IF(Table1[[#This Row],[Age]]&gt;=60,"Senior Citizen",IF(AND(Table1[[#This Row],[Age]]&gt;=18,Table1[[#This Row],[Age]]&lt;60),"Adult",IF(Table1[[#This Row],[Age]]&lt;18,"Child")))</f>
        <v>Adult</v>
      </c>
      <c r="L306" s="19"/>
    </row>
    <row r="307" spans="1:12" x14ac:dyDescent="0.25">
      <c r="A307" s="11" t="s">
        <v>332</v>
      </c>
      <c r="B307" s="11" t="s">
        <v>34</v>
      </c>
      <c r="C307" s="11" t="s">
        <v>40</v>
      </c>
      <c r="D307" s="11" t="s">
        <v>12</v>
      </c>
      <c r="E307" s="11" t="s">
        <v>17</v>
      </c>
      <c r="F307" s="11">
        <v>81</v>
      </c>
      <c r="G307" s="11">
        <v>116621.16</v>
      </c>
      <c r="H307" s="11">
        <v>10</v>
      </c>
      <c r="I307" s="12">
        <v>47</v>
      </c>
      <c r="J307" s="15" t="str">
        <f>IF(Table1[[#This Row],[Treatment Cost]]&gt;75000,"HIGH COST","LOW COST")</f>
        <v>HIGH COST</v>
      </c>
      <c r="K307" s="15" t="str">
        <f>IF(Table1[[#This Row],[Age]]&gt;=60,"Senior Citizen",IF(AND(Table1[[#This Row],[Age]]&gt;=18,Table1[[#This Row],[Age]]&lt;60),"Adult",IF(Table1[[#This Row],[Age]]&lt;18,"Child")))</f>
        <v>Senior Citizen</v>
      </c>
      <c r="L307" s="19"/>
    </row>
    <row r="308" spans="1:12" x14ac:dyDescent="0.25">
      <c r="A308" s="11" t="s">
        <v>333</v>
      </c>
      <c r="B308" s="11" t="s">
        <v>10</v>
      </c>
      <c r="C308" s="11" t="s">
        <v>23</v>
      </c>
      <c r="D308" s="11" t="s">
        <v>16</v>
      </c>
      <c r="E308" s="11" t="s">
        <v>13</v>
      </c>
      <c r="F308" s="11">
        <v>67</v>
      </c>
      <c r="G308" s="11">
        <v>76467.12</v>
      </c>
      <c r="H308" s="11">
        <v>30</v>
      </c>
      <c r="I308" s="12">
        <v>80</v>
      </c>
      <c r="J308" s="15" t="str">
        <f>IF(Table1[[#This Row],[Treatment Cost]]&gt;75000,"HIGH COST","LOW COST")</f>
        <v>HIGH COST</v>
      </c>
      <c r="K308" s="15" t="str">
        <f>IF(Table1[[#This Row],[Age]]&gt;=60,"Senior Citizen",IF(AND(Table1[[#This Row],[Age]]&gt;=18,Table1[[#This Row],[Age]]&lt;60),"Adult",IF(Table1[[#This Row],[Age]]&lt;18,"Child")))</f>
        <v>Senior Citizen</v>
      </c>
      <c r="L308" s="19"/>
    </row>
    <row r="309" spans="1:12" x14ac:dyDescent="0.25">
      <c r="A309" s="11" t="s">
        <v>334</v>
      </c>
      <c r="B309" s="11" t="s">
        <v>31</v>
      </c>
      <c r="C309" s="11" t="s">
        <v>11</v>
      </c>
      <c r="D309" s="11" t="s">
        <v>21</v>
      </c>
      <c r="E309" s="11" t="s">
        <v>13</v>
      </c>
      <c r="F309" s="11">
        <v>63</v>
      </c>
      <c r="G309" s="11">
        <v>141710.41</v>
      </c>
      <c r="H309" s="11">
        <v>8</v>
      </c>
      <c r="I309" s="12">
        <v>65</v>
      </c>
      <c r="J309" s="15" t="str">
        <f>IF(Table1[[#This Row],[Treatment Cost]]&gt;75000,"HIGH COST","LOW COST")</f>
        <v>HIGH COST</v>
      </c>
      <c r="K309" s="15" t="str">
        <f>IF(Table1[[#This Row],[Age]]&gt;=60,"Senior Citizen",IF(AND(Table1[[#This Row],[Age]]&gt;=18,Table1[[#This Row],[Age]]&lt;60),"Adult",IF(Table1[[#This Row],[Age]]&lt;18,"Child")))</f>
        <v>Senior Citizen</v>
      </c>
      <c r="L309" s="19"/>
    </row>
    <row r="310" spans="1:12" x14ac:dyDescent="0.25">
      <c r="A310" s="11" t="s">
        <v>335</v>
      </c>
      <c r="B310" s="11" t="s">
        <v>31</v>
      </c>
      <c r="C310" s="11" t="s">
        <v>20</v>
      </c>
      <c r="D310" s="11" t="s">
        <v>16</v>
      </c>
      <c r="E310" s="11" t="s">
        <v>13</v>
      </c>
      <c r="F310" s="11">
        <v>53</v>
      </c>
      <c r="G310" s="11">
        <v>72969.59</v>
      </c>
      <c r="H310" s="11">
        <v>5</v>
      </c>
      <c r="I310" s="12">
        <v>61</v>
      </c>
      <c r="J310" s="15" t="str">
        <f>IF(Table1[[#This Row],[Treatment Cost]]&gt;75000,"HIGH COST","LOW COST")</f>
        <v>LOW COST</v>
      </c>
      <c r="K310" s="15" t="str">
        <f>IF(Table1[[#This Row],[Age]]&gt;=60,"Senior Citizen",IF(AND(Table1[[#This Row],[Age]]&gt;=18,Table1[[#This Row],[Age]]&lt;60),"Adult",IF(Table1[[#This Row],[Age]]&lt;18,"Child")))</f>
        <v>Adult</v>
      </c>
      <c r="L310" s="19"/>
    </row>
    <row r="311" spans="1:12" x14ac:dyDescent="0.25">
      <c r="A311" s="11" t="s">
        <v>336</v>
      </c>
      <c r="B311" s="11" t="s">
        <v>19</v>
      </c>
      <c r="C311" s="11" t="s">
        <v>40</v>
      </c>
      <c r="D311" s="11" t="s">
        <v>26</v>
      </c>
      <c r="E311" s="11" t="s">
        <v>29</v>
      </c>
      <c r="F311" s="11">
        <v>54</v>
      </c>
      <c r="G311" s="11">
        <v>147365.56</v>
      </c>
      <c r="H311" s="11">
        <v>5</v>
      </c>
      <c r="I311" s="12">
        <v>59</v>
      </c>
      <c r="J311" s="15" t="str">
        <f>IF(Table1[[#This Row],[Treatment Cost]]&gt;75000,"HIGH COST","LOW COST")</f>
        <v>HIGH COST</v>
      </c>
      <c r="K311" s="15" t="str">
        <f>IF(Table1[[#This Row],[Age]]&gt;=60,"Senior Citizen",IF(AND(Table1[[#This Row],[Age]]&gt;=18,Table1[[#This Row],[Age]]&lt;60),"Adult",IF(Table1[[#This Row],[Age]]&lt;18,"Child")))</f>
        <v>Adult</v>
      </c>
      <c r="L311" s="19"/>
    </row>
    <row r="312" spans="1:12" x14ac:dyDescent="0.25">
      <c r="A312" s="11" t="s">
        <v>337</v>
      </c>
      <c r="B312" s="11" t="s">
        <v>36</v>
      </c>
      <c r="C312" s="11" t="s">
        <v>20</v>
      </c>
      <c r="D312" s="11" t="s">
        <v>26</v>
      </c>
      <c r="E312" s="11" t="s">
        <v>13</v>
      </c>
      <c r="F312" s="11">
        <v>42</v>
      </c>
      <c r="G312" s="11">
        <v>165720.9</v>
      </c>
      <c r="H312" s="11">
        <v>27</v>
      </c>
      <c r="I312" s="12">
        <v>57</v>
      </c>
      <c r="J312" s="15" t="str">
        <f>IF(Table1[[#This Row],[Treatment Cost]]&gt;75000,"HIGH COST","LOW COST")</f>
        <v>HIGH COST</v>
      </c>
      <c r="K312" s="15" t="str">
        <f>IF(Table1[[#This Row],[Age]]&gt;=60,"Senior Citizen",IF(AND(Table1[[#This Row],[Age]]&gt;=18,Table1[[#This Row],[Age]]&lt;60),"Adult",IF(Table1[[#This Row],[Age]]&lt;18,"Child")))</f>
        <v>Adult</v>
      </c>
      <c r="L312" s="19"/>
    </row>
    <row r="313" spans="1:12" x14ac:dyDescent="0.25">
      <c r="A313" s="11" t="s">
        <v>338</v>
      </c>
      <c r="B313" s="11" t="s">
        <v>19</v>
      </c>
      <c r="C313" s="11" t="s">
        <v>20</v>
      </c>
      <c r="D313" s="11" t="s">
        <v>24</v>
      </c>
      <c r="E313" s="11" t="s">
        <v>29</v>
      </c>
      <c r="F313" s="11">
        <v>7</v>
      </c>
      <c r="G313" s="11">
        <v>15748.75</v>
      </c>
      <c r="H313" s="11">
        <v>5</v>
      </c>
      <c r="I313" s="12">
        <v>60</v>
      </c>
      <c r="J313" s="15" t="str">
        <f>IF(Table1[[#This Row],[Treatment Cost]]&gt;75000,"HIGH COST","LOW COST")</f>
        <v>LOW COST</v>
      </c>
      <c r="K313" s="15" t="str">
        <f>IF(Table1[[#This Row],[Age]]&gt;=60,"Senior Citizen",IF(AND(Table1[[#This Row],[Age]]&gt;=18,Table1[[#This Row],[Age]]&lt;60),"Adult",IF(Table1[[#This Row],[Age]]&lt;18,"Child")))</f>
        <v>Child</v>
      </c>
      <c r="L313" s="19"/>
    </row>
    <row r="314" spans="1:12" x14ac:dyDescent="0.25">
      <c r="A314" s="11" t="s">
        <v>339</v>
      </c>
      <c r="B314" s="11" t="s">
        <v>19</v>
      </c>
      <c r="C314" s="11" t="s">
        <v>20</v>
      </c>
      <c r="D314" s="11" t="s">
        <v>24</v>
      </c>
      <c r="E314" s="11" t="s">
        <v>17</v>
      </c>
      <c r="F314" s="11">
        <v>73</v>
      </c>
      <c r="G314" s="11">
        <v>74946.83</v>
      </c>
      <c r="H314" s="11">
        <v>6</v>
      </c>
      <c r="I314" s="12">
        <v>80</v>
      </c>
      <c r="J314" s="15" t="str">
        <f>IF(Table1[[#This Row],[Treatment Cost]]&gt;75000,"HIGH COST","LOW COST")</f>
        <v>LOW COST</v>
      </c>
      <c r="K314" s="15" t="str">
        <f>IF(Table1[[#This Row],[Age]]&gt;=60,"Senior Citizen",IF(AND(Table1[[#This Row],[Age]]&gt;=18,Table1[[#This Row],[Age]]&lt;60),"Adult",IF(Table1[[#This Row],[Age]]&lt;18,"Child")))</f>
        <v>Senior Citizen</v>
      </c>
      <c r="L314" s="19"/>
    </row>
    <row r="315" spans="1:12" x14ac:dyDescent="0.25">
      <c r="A315" s="11" t="s">
        <v>340</v>
      </c>
      <c r="B315" s="11" t="s">
        <v>34</v>
      </c>
      <c r="C315" s="11" t="s">
        <v>40</v>
      </c>
      <c r="D315" s="11" t="s">
        <v>24</v>
      </c>
      <c r="E315" s="11" t="s">
        <v>13</v>
      </c>
      <c r="F315" s="11">
        <v>55</v>
      </c>
      <c r="G315" s="11">
        <v>182264.91</v>
      </c>
      <c r="H315" s="11">
        <v>26</v>
      </c>
      <c r="I315" s="12">
        <v>83</v>
      </c>
      <c r="J315" s="15" t="str">
        <f>IF(Table1[[#This Row],[Treatment Cost]]&gt;75000,"HIGH COST","LOW COST")</f>
        <v>HIGH COST</v>
      </c>
      <c r="K315" s="15" t="str">
        <f>IF(Table1[[#This Row],[Age]]&gt;=60,"Senior Citizen",IF(AND(Table1[[#This Row],[Age]]&gt;=18,Table1[[#This Row],[Age]]&lt;60),"Adult",IF(Table1[[#This Row],[Age]]&lt;18,"Child")))</f>
        <v>Adult</v>
      </c>
      <c r="L315" s="19"/>
    </row>
    <row r="316" spans="1:12" x14ac:dyDescent="0.25">
      <c r="A316" s="11" t="s">
        <v>341</v>
      </c>
      <c r="B316" s="11" t="s">
        <v>34</v>
      </c>
      <c r="C316" s="11" t="s">
        <v>23</v>
      </c>
      <c r="D316" s="11" t="s">
        <v>21</v>
      </c>
      <c r="E316" s="11" t="s">
        <v>29</v>
      </c>
      <c r="F316" s="11">
        <v>12</v>
      </c>
      <c r="G316" s="11">
        <v>17235.04</v>
      </c>
      <c r="H316" s="11">
        <v>11</v>
      </c>
      <c r="I316" s="12">
        <v>41</v>
      </c>
      <c r="J316" s="15" t="str">
        <f>IF(Table1[[#This Row],[Treatment Cost]]&gt;75000,"HIGH COST","LOW COST")</f>
        <v>LOW COST</v>
      </c>
      <c r="K316" s="15" t="str">
        <f>IF(Table1[[#This Row],[Age]]&gt;=60,"Senior Citizen",IF(AND(Table1[[#This Row],[Age]]&gt;=18,Table1[[#This Row],[Age]]&lt;60),"Adult",IF(Table1[[#This Row],[Age]]&lt;18,"Child")))</f>
        <v>Child</v>
      </c>
      <c r="L316" s="19"/>
    </row>
    <row r="317" spans="1:12" x14ac:dyDescent="0.25">
      <c r="A317" s="11" t="s">
        <v>342</v>
      </c>
      <c r="B317" s="11" t="s">
        <v>10</v>
      </c>
      <c r="C317" s="11" t="s">
        <v>11</v>
      </c>
      <c r="D317" s="11" t="s">
        <v>16</v>
      </c>
      <c r="E317" s="11" t="s">
        <v>13</v>
      </c>
      <c r="F317" s="11">
        <v>63</v>
      </c>
      <c r="G317" s="11">
        <v>95532.62</v>
      </c>
      <c r="H317" s="11">
        <v>25</v>
      </c>
      <c r="I317" s="12">
        <v>63</v>
      </c>
      <c r="J317" s="15" t="str">
        <f>IF(Table1[[#This Row],[Treatment Cost]]&gt;75000,"HIGH COST","LOW COST")</f>
        <v>HIGH COST</v>
      </c>
      <c r="K317" s="15" t="str">
        <f>IF(Table1[[#This Row],[Age]]&gt;=60,"Senior Citizen",IF(AND(Table1[[#This Row],[Age]]&gt;=18,Table1[[#This Row],[Age]]&lt;60),"Adult",IF(Table1[[#This Row],[Age]]&lt;18,"Child")))</f>
        <v>Senior Citizen</v>
      </c>
      <c r="L317" s="19"/>
    </row>
    <row r="318" spans="1:12" x14ac:dyDescent="0.25">
      <c r="A318" s="11" t="s">
        <v>343</v>
      </c>
      <c r="B318" s="11" t="s">
        <v>15</v>
      </c>
      <c r="C318" s="11" t="s">
        <v>40</v>
      </c>
      <c r="D318" s="11" t="s">
        <v>12</v>
      </c>
      <c r="E318" s="11" t="s">
        <v>13</v>
      </c>
      <c r="F318" s="11">
        <v>47</v>
      </c>
      <c r="G318" s="11">
        <v>21152.54</v>
      </c>
      <c r="H318" s="11">
        <v>15</v>
      </c>
      <c r="I318" s="12">
        <v>56</v>
      </c>
      <c r="J318" s="15" t="str">
        <f>IF(Table1[[#This Row],[Treatment Cost]]&gt;75000,"HIGH COST","LOW COST")</f>
        <v>LOW COST</v>
      </c>
      <c r="K318" s="15" t="str">
        <f>IF(Table1[[#This Row],[Age]]&gt;=60,"Senior Citizen",IF(AND(Table1[[#This Row],[Age]]&gt;=18,Table1[[#This Row],[Age]]&lt;60),"Adult",IF(Table1[[#This Row],[Age]]&lt;18,"Child")))</f>
        <v>Adult</v>
      </c>
      <c r="L318" s="19"/>
    </row>
    <row r="319" spans="1:12" x14ac:dyDescent="0.25">
      <c r="A319" s="11" t="s">
        <v>344</v>
      </c>
      <c r="B319" s="11" t="s">
        <v>10</v>
      </c>
      <c r="C319" s="11" t="s">
        <v>23</v>
      </c>
      <c r="D319" s="11" t="s">
        <v>12</v>
      </c>
      <c r="E319" s="11" t="s">
        <v>29</v>
      </c>
      <c r="F319" s="11">
        <v>59</v>
      </c>
      <c r="G319" s="11">
        <v>105708.64</v>
      </c>
      <c r="H319" s="11">
        <v>16</v>
      </c>
      <c r="I319" s="12">
        <v>89</v>
      </c>
      <c r="J319" s="15" t="str">
        <f>IF(Table1[[#This Row],[Treatment Cost]]&gt;75000,"HIGH COST","LOW COST")</f>
        <v>HIGH COST</v>
      </c>
      <c r="K319" s="15" t="str">
        <f>IF(Table1[[#This Row],[Age]]&gt;=60,"Senior Citizen",IF(AND(Table1[[#This Row],[Age]]&gt;=18,Table1[[#This Row],[Age]]&lt;60),"Adult",IF(Table1[[#This Row],[Age]]&lt;18,"Child")))</f>
        <v>Adult</v>
      </c>
      <c r="L319" s="19"/>
    </row>
    <row r="320" spans="1:12" x14ac:dyDescent="0.25">
      <c r="A320" s="11" t="s">
        <v>345</v>
      </c>
      <c r="B320" s="11" t="s">
        <v>34</v>
      </c>
      <c r="C320" s="11" t="s">
        <v>40</v>
      </c>
      <c r="D320" s="11" t="s">
        <v>16</v>
      </c>
      <c r="E320" s="11" t="s">
        <v>13</v>
      </c>
      <c r="F320" s="11">
        <v>79</v>
      </c>
      <c r="G320" s="11">
        <v>144635.9</v>
      </c>
      <c r="H320" s="11">
        <v>6</v>
      </c>
      <c r="I320" s="12">
        <v>92</v>
      </c>
      <c r="J320" s="15" t="str">
        <f>IF(Table1[[#This Row],[Treatment Cost]]&gt;75000,"HIGH COST","LOW COST")</f>
        <v>HIGH COST</v>
      </c>
      <c r="K320" s="15" t="str">
        <f>IF(Table1[[#This Row],[Age]]&gt;=60,"Senior Citizen",IF(AND(Table1[[#This Row],[Age]]&gt;=18,Table1[[#This Row],[Age]]&lt;60),"Adult",IF(Table1[[#This Row],[Age]]&lt;18,"Child")))</f>
        <v>Senior Citizen</v>
      </c>
      <c r="L320" s="19"/>
    </row>
    <row r="321" spans="1:12" x14ac:dyDescent="0.25">
      <c r="A321" s="11" t="s">
        <v>346</v>
      </c>
      <c r="B321" s="11" t="s">
        <v>10</v>
      </c>
      <c r="C321" s="11" t="s">
        <v>40</v>
      </c>
      <c r="D321" s="11" t="s">
        <v>16</v>
      </c>
      <c r="E321" s="11" t="s">
        <v>29</v>
      </c>
      <c r="F321" s="11">
        <v>45</v>
      </c>
      <c r="G321" s="11">
        <v>53658.96</v>
      </c>
      <c r="H321" s="11">
        <v>30</v>
      </c>
      <c r="I321" s="12">
        <v>48</v>
      </c>
      <c r="J321" s="15" t="str">
        <f>IF(Table1[[#This Row],[Treatment Cost]]&gt;75000,"HIGH COST","LOW COST")</f>
        <v>LOW COST</v>
      </c>
      <c r="K321" s="15" t="str">
        <f>IF(Table1[[#This Row],[Age]]&gt;=60,"Senior Citizen",IF(AND(Table1[[#This Row],[Age]]&gt;=18,Table1[[#This Row],[Age]]&lt;60),"Adult",IF(Table1[[#This Row],[Age]]&lt;18,"Child")))</f>
        <v>Adult</v>
      </c>
      <c r="L321" s="19"/>
    </row>
    <row r="322" spans="1:12" x14ac:dyDescent="0.25">
      <c r="A322" s="11" t="s">
        <v>347</v>
      </c>
      <c r="B322" s="11" t="s">
        <v>31</v>
      </c>
      <c r="C322" s="11" t="s">
        <v>23</v>
      </c>
      <c r="D322" s="11" t="s">
        <v>26</v>
      </c>
      <c r="E322" s="11" t="s">
        <v>29</v>
      </c>
      <c r="F322" s="11">
        <v>46</v>
      </c>
      <c r="G322" s="11">
        <v>70981</v>
      </c>
      <c r="H322" s="11">
        <v>15</v>
      </c>
      <c r="I322" s="12">
        <v>94</v>
      </c>
      <c r="J322" s="15" t="str">
        <f>IF(Table1[[#This Row],[Treatment Cost]]&gt;75000,"HIGH COST","LOW COST")</f>
        <v>LOW COST</v>
      </c>
      <c r="K322" s="15" t="str">
        <f>IF(Table1[[#This Row],[Age]]&gt;=60,"Senior Citizen",IF(AND(Table1[[#This Row],[Age]]&gt;=18,Table1[[#This Row],[Age]]&lt;60),"Adult",IF(Table1[[#This Row],[Age]]&lt;18,"Child")))</f>
        <v>Adult</v>
      </c>
      <c r="L322" s="19"/>
    </row>
    <row r="323" spans="1:12" x14ac:dyDescent="0.25">
      <c r="A323" s="11" t="s">
        <v>348</v>
      </c>
      <c r="B323" s="11" t="s">
        <v>15</v>
      </c>
      <c r="C323" s="11" t="s">
        <v>20</v>
      </c>
      <c r="D323" s="11" t="s">
        <v>26</v>
      </c>
      <c r="E323" s="11" t="s">
        <v>17</v>
      </c>
      <c r="F323" s="11">
        <v>56</v>
      </c>
      <c r="G323" s="11">
        <v>176807.46</v>
      </c>
      <c r="H323" s="11">
        <v>18</v>
      </c>
      <c r="I323" s="12">
        <v>72</v>
      </c>
      <c r="J323" s="15" t="str">
        <f>IF(Table1[[#This Row],[Treatment Cost]]&gt;75000,"HIGH COST","LOW COST")</f>
        <v>HIGH COST</v>
      </c>
      <c r="K323" s="15" t="str">
        <f>IF(Table1[[#This Row],[Age]]&gt;=60,"Senior Citizen",IF(AND(Table1[[#This Row],[Age]]&gt;=18,Table1[[#This Row],[Age]]&lt;60),"Adult",IF(Table1[[#This Row],[Age]]&lt;18,"Child")))</f>
        <v>Adult</v>
      </c>
      <c r="L323" s="19"/>
    </row>
    <row r="324" spans="1:12" x14ac:dyDescent="0.25">
      <c r="A324" s="11" t="s">
        <v>349</v>
      </c>
      <c r="B324" s="11" t="s">
        <v>31</v>
      </c>
      <c r="C324" s="11" t="s">
        <v>11</v>
      </c>
      <c r="D324" s="11" t="s">
        <v>26</v>
      </c>
      <c r="E324" s="11" t="s">
        <v>17</v>
      </c>
      <c r="F324" s="11">
        <v>2</v>
      </c>
      <c r="G324" s="11">
        <v>92673.22</v>
      </c>
      <c r="H324" s="11">
        <v>28</v>
      </c>
      <c r="I324" s="12">
        <v>54</v>
      </c>
      <c r="J324" s="15" t="str">
        <f>IF(Table1[[#This Row],[Treatment Cost]]&gt;75000,"HIGH COST","LOW COST")</f>
        <v>HIGH COST</v>
      </c>
      <c r="K324" s="15" t="str">
        <f>IF(Table1[[#This Row],[Age]]&gt;=60,"Senior Citizen",IF(AND(Table1[[#This Row],[Age]]&gt;=18,Table1[[#This Row],[Age]]&lt;60),"Adult",IF(Table1[[#This Row],[Age]]&lt;18,"Child")))</f>
        <v>Child</v>
      </c>
      <c r="L324" s="19"/>
    </row>
    <row r="325" spans="1:12" x14ac:dyDescent="0.25">
      <c r="A325" s="11" t="s">
        <v>350</v>
      </c>
      <c r="B325" s="11" t="s">
        <v>36</v>
      </c>
      <c r="C325" s="11" t="s">
        <v>20</v>
      </c>
      <c r="D325" s="11" t="s">
        <v>12</v>
      </c>
      <c r="E325" s="11" t="s">
        <v>17</v>
      </c>
      <c r="F325" s="11">
        <v>25</v>
      </c>
      <c r="G325" s="11">
        <v>160662.59</v>
      </c>
      <c r="H325" s="11">
        <v>1</v>
      </c>
      <c r="I325" s="12">
        <v>99</v>
      </c>
      <c r="J325" s="15" t="str">
        <f>IF(Table1[[#This Row],[Treatment Cost]]&gt;75000,"HIGH COST","LOW COST")</f>
        <v>HIGH COST</v>
      </c>
      <c r="K325" s="15" t="str">
        <f>IF(Table1[[#This Row],[Age]]&gt;=60,"Senior Citizen",IF(AND(Table1[[#This Row],[Age]]&gt;=18,Table1[[#This Row],[Age]]&lt;60),"Adult",IF(Table1[[#This Row],[Age]]&lt;18,"Child")))</f>
        <v>Adult</v>
      </c>
      <c r="L325" s="19"/>
    </row>
    <row r="326" spans="1:12" x14ac:dyDescent="0.25">
      <c r="A326" s="11" t="s">
        <v>351</v>
      </c>
      <c r="B326" s="11" t="s">
        <v>10</v>
      </c>
      <c r="C326" s="11" t="s">
        <v>40</v>
      </c>
      <c r="D326" s="11" t="s">
        <v>21</v>
      </c>
      <c r="E326" s="11" t="s">
        <v>17</v>
      </c>
      <c r="F326" s="11">
        <v>90</v>
      </c>
      <c r="G326" s="11">
        <v>17595.830000000002</v>
      </c>
      <c r="H326" s="11">
        <v>24</v>
      </c>
      <c r="I326" s="12">
        <v>95</v>
      </c>
      <c r="J326" s="15" t="str">
        <f>IF(Table1[[#This Row],[Treatment Cost]]&gt;75000,"HIGH COST","LOW COST")</f>
        <v>LOW COST</v>
      </c>
      <c r="K326" s="15" t="str">
        <f>IF(Table1[[#This Row],[Age]]&gt;=60,"Senior Citizen",IF(AND(Table1[[#This Row],[Age]]&gt;=18,Table1[[#This Row],[Age]]&lt;60),"Adult",IF(Table1[[#This Row],[Age]]&lt;18,"Child")))</f>
        <v>Senior Citizen</v>
      </c>
      <c r="L326" s="19"/>
    </row>
    <row r="327" spans="1:12" x14ac:dyDescent="0.25">
      <c r="A327" s="11" t="s">
        <v>352</v>
      </c>
      <c r="B327" s="11" t="s">
        <v>31</v>
      </c>
      <c r="C327" s="11" t="s">
        <v>20</v>
      </c>
      <c r="D327" s="11" t="s">
        <v>16</v>
      </c>
      <c r="E327" s="11" t="s">
        <v>29</v>
      </c>
      <c r="F327" s="11">
        <v>64</v>
      </c>
      <c r="G327" s="11">
        <v>131506.07</v>
      </c>
      <c r="H327" s="11">
        <v>26</v>
      </c>
      <c r="I327" s="12">
        <v>56</v>
      </c>
      <c r="J327" s="15" t="str">
        <f>IF(Table1[[#This Row],[Treatment Cost]]&gt;75000,"HIGH COST","LOW COST")</f>
        <v>HIGH COST</v>
      </c>
      <c r="K327" s="15" t="str">
        <f>IF(Table1[[#This Row],[Age]]&gt;=60,"Senior Citizen",IF(AND(Table1[[#This Row],[Age]]&gt;=18,Table1[[#This Row],[Age]]&lt;60),"Adult",IF(Table1[[#This Row],[Age]]&lt;18,"Child")))</f>
        <v>Senior Citizen</v>
      </c>
      <c r="L327" s="19"/>
    </row>
    <row r="328" spans="1:12" x14ac:dyDescent="0.25">
      <c r="A328" s="11" t="s">
        <v>353</v>
      </c>
      <c r="B328" s="11" t="s">
        <v>15</v>
      </c>
      <c r="C328" s="11" t="s">
        <v>11</v>
      </c>
      <c r="D328" s="11" t="s">
        <v>21</v>
      </c>
      <c r="E328" s="11" t="s">
        <v>29</v>
      </c>
      <c r="F328" s="11">
        <v>7</v>
      </c>
      <c r="G328" s="11">
        <v>22995.19</v>
      </c>
      <c r="H328" s="11">
        <v>11</v>
      </c>
      <c r="I328" s="12">
        <v>86</v>
      </c>
      <c r="J328" s="15" t="str">
        <f>IF(Table1[[#This Row],[Treatment Cost]]&gt;75000,"HIGH COST","LOW COST")</f>
        <v>LOW COST</v>
      </c>
      <c r="K328" s="15" t="str">
        <f>IF(Table1[[#This Row],[Age]]&gt;=60,"Senior Citizen",IF(AND(Table1[[#This Row],[Age]]&gt;=18,Table1[[#This Row],[Age]]&lt;60),"Adult",IF(Table1[[#This Row],[Age]]&lt;18,"Child")))</f>
        <v>Child</v>
      </c>
      <c r="L328" s="19"/>
    </row>
    <row r="329" spans="1:12" x14ac:dyDescent="0.25">
      <c r="A329" s="11" t="s">
        <v>354</v>
      </c>
      <c r="B329" s="11" t="s">
        <v>19</v>
      </c>
      <c r="C329" s="11" t="s">
        <v>40</v>
      </c>
      <c r="D329" s="11" t="s">
        <v>24</v>
      </c>
      <c r="E329" s="11" t="s">
        <v>13</v>
      </c>
      <c r="F329" s="11">
        <v>72</v>
      </c>
      <c r="G329" s="11">
        <v>29353.17</v>
      </c>
      <c r="H329" s="11">
        <v>28</v>
      </c>
      <c r="I329" s="12">
        <v>44</v>
      </c>
      <c r="J329" s="15" t="str">
        <f>IF(Table1[[#This Row],[Treatment Cost]]&gt;75000,"HIGH COST","LOW COST")</f>
        <v>LOW COST</v>
      </c>
      <c r="K329" s="15" t="str">
        <f>IF(Table1[[#This Row],[Age]]&gt;=60,"Senior Citizen",IF(AND(Table1[[#This Row],[Age]]&gt;=18,Table1[[#This Row],[Age]]&lt;60),"Adult",IF(Table1[[#This Row],[Age]]&lt;18,"Child")))</f>
        <v>Senior Citizen</v>
      </c>
      <c r="L329" s="19"/>
    </row>
    <row r="330" spans="1:12" x14ac:dyDescent="0.25">
      <c r="A330" s="11" t="s">
        <v>355</v>
      </c>
      <c r="B330" s="11" t="s">
        <v>19</v>
      </c>
      <c r="C330" s="11" t="s">
        <v>11</v>
      </c>
      <c r="D330" s="11" t="s">
        <v>12</v>
      </c>
      <c r="E330" s="11" t="s">
        <v>29</v>
      </c>
      <c r="F330" s="11">
        <v>24</v>
      </c>
      <c r="G330" s="11">
        <v>82810.63</v>
      </c>
      <c r="H330" s="11">
        <v>3</v>
      </c>
      <c r="I330" s="12">
        <v>47</v>
      </c>
      <c r="J330" s="15" t="str">
        <f>IF(Table1[[#This Row],[Treatment Cost]]&gt;75000,"HIGH COST","LOW COST")</f>
        <v>HIGH COST</v>
      </c>
      <c r="K330" s="15" t="str">
        <f>IF(Table1[[#This Row],[Age]]&gt;=60,"Senior Citizen",IF(AND(Table1[[#This Row],[Age]]&gt;=18,Table1[[#This Row],[Age]]&lt;60),"Adult",IF(Table1[[#This Row],[Age]]&lt;18,"Child")))</f>
        <v>Adult</v>
      </c>
      <c r="L330" s="19"/>
    </row>
    <row r="331" spans="1:12" x14ac:dyDescent="0.25">
      <c r="A331" s="11" t="s">
        <v>356</v>
      </c>
      <c r="B331" s="11" t="s">
        <v>31</v>
      </c>
      <c r="C331" s="11" t="s">
        <v>23</v>
      </c>
      <c r="D331" s="11" t="s">
        <v>16</v>
      </c>
      <c r="E331" s="11" t="s">
        <v>13</v>
      </c>
      <c r="F331" s="11">
        <v>23</v>
      </c>
      <c r="G331" s="11">
        <v>79266.11</v>
      </c>
      <c r="H331" s="11">
        <v>27</v>
      </c>
      <c r="I331" s="12">
        <v>83</v>
      </c>
      <c r="J331" s="15" t="str">
        <f>IF(Table1[[#This Row],[Treatment Cost]]&gt;75000,"HIGH COST","LOW COST")</f>
        <v>HIGH COST</v>
      </c>
      <c r="K331" s="15" t="str">
        <f>IF(Table1[[#This Row],[Age]]&gt;=60,"Senior Citizen",IF(AND(Table1[[#This Row],[Age]]&gt;=18,Table1[[#This Row],[Age]]&lt;60),"Adult",IF(Table1[[#This Row],[Age]]&lt;18,"Child")))</f>
        <v>Adult</v>
      </c>
      <c r="L331" s="19"/>
    </row>
    <row r="332" spans="1:12" x14ac:dyDescent="0.25">
      <c r="A332" s="11" t="s">
        <v>357</v>
      </c>
      <c r="B332" s="11" t="s">
        <v>34</v>
      </c>
      <c r="C332" s="11" t="s">
        <v>40</v>
      </c>
      <c r="D332" s="11" t="s">
        <v>26</v>
      </c>
      <c r="E332" s="11" t="s">
        <v>17</v>
      </c>
      <c r="F332" s="11">
        <v>13</v>
      </c>
      <c r="G332" s="11">
        <v>67551.88</v>
      </c>
      <c r="H332" s="11">
        <v>12</v>
      </c>
      <c r="I332" s="12">
        <v>67</v>
      </c>
      <c r="J332" s="15" t="str">
        <f>IF(Table1[[#This Row],[Treatment Cost]]&gt;75000,"HIGH COST","LOW COST")</f>
        <v>LOW COST</v>
      </c>
      <c r="K332" s="15" t="str">
        <f>IF(Table1[[#This Row],[Age]]&gt;=60,"Senior Citizen",IF(AND(Table1[[#This Row],[Age]]&gt;=18,Table1[[#This Row],[Age]]&lt;60),"Adult",IF(Table1[[#This Row],[Age]]&lt;18,"Child")))</f>
        <v>Child</v>
      </c>
      <c r="L332" s="19"/>
    </row>
    <row r="333" spans="1:12" x14ac:dyDescent="0.25">
      <c r="A333" s="11" t="s">
        <v>358</v>
      </c>
      <c r="B333" s="11" t="s">
        <v>19</v>
      </c>
      <c r="C333" s="11" t="s">
        <v>20</v>
      </c>
      <c r="D333" s="11" t="s">
        <v>21</v>
      </c>
      <c r="E333" s="11" t="s">
        <v>17</v>
      </c>
      <c r="F333" s="11">
        <v>29</v>
      </c>
      <c r="G333" s="11">
        <v>8810.3700000000008</v>
      </c>
      <c r="H333" s="11">
        <v>30</v>
      </c>
      <c r="I333" s="12">
        <v>71</v>
      </c>
      <c r="J333" s="15" t="str">
        <f>IF(Table1[[#This Row],[Treatment Cost]]&gt;75000,"HIGH COST","LOW COST")</f>
        <v>LOW COST</v>
      </c>
      <c r="K333" s="15" t="str">
        <f>IF(Table1[[#This Row],[Age]]&gt;=60,"Senior Citizen",IF(AND(Table1[[#This Row],[Age]]&gt;=18,Table1[[#This Row],[Age]]&lt;60),"Adult",IF(Table1[[#This Row],[Age]]&lt;18,"Child")))</f>
        <v>Adult</v>
      </c>
      <c r="L333" s="19"/>
    </row>
    <row r="334" spans="1:12" x14ac:dyDescent="0.25">
      <c r="A334" s="11" t="s">
        <v>359</v>
      </c>
      <c r="B334" s="11" t="s">
        <v>31</v>
      </c>
      <c r="C334" s="11" t="s">
        <v>23</v>
      </c>
      <c r="D334" s="11" t="s">
        <v>21</v>
      </c>
      <c r="E334" s="11" t="s">
        <v>29</v>
      </c>
      <c r="F334" s="11">
        <v>9</v>
      </c>
      <c r="G334" s="11">
        <v>182970.74</v>
      </c>
      <c r="H334" s="11">
        <v>23</v>
      </c>
      <c r="I334" s="12">
        <v>95</v>
      </c>
      <c r="J334" s="15" t="str">
        <f>IF(Table1[[#This Row],[Treatment Cost]]&gt;75000,"HIGH COST","LOW COST")</f>
        <v>HIGH COST</v>
      </c>
      <c r="K334" s="15" t="str">
        <f>IF(Table1[[#This Row],[Age]]&gt;=60,"Senior Citizen",IF(AND(Table1[[#This Row],[Age]]&gt;=18,Table1[[#This Row],[Age]]&lt;60),"Adult",IF(Table1[[#This Row],[Age]]&lt;18,"Child")))</f>
        <v>Child</v>
      </c>
      <c r="L334" s="19"/>
    </row>
    <row r="335" spans="1:12" x14ac:dyDescent="0.25">
      <c r="A335" s="11" t="s">
        <v>360</v>
      </c>
      <c r="B335" s="11" t="s">
        <v>15</v>
      </c>
      <c r="C335" s="11" t="s">
        <v>23</v>
      </c>
      <c r="D335" s="11" t="s">
        <v>21</v>
      </c>
      <c r="E335" s="11" t="s">
        <v>13</v>
      </c>
      <c r="F335" s="11">
        <v>90</v>
      </c>
      <c r="G335" s="11">
        <v>50035.44</v>
      </c>
      <c r="H335" s="11">
        <v>25</v>
      </c>
      <c r="I335" s="12">
        <v>56</v>
      </c>
      <c r="J335" s="15" t="str">
        <f>IF(Table1[[#This Row],[Treatment Cost]]&gt;75000,"HIGH COST","LOW COST")</f>
        <v>LOW COST</v>
      </c>
      <c r="K335" s="15" t="str">
        <f>IF(Table1[[#This Row],[Age]]&gt;=60,"Senior Citizen",IF(AND(Table1[[#This Row],[Age]]&gt;=18,Table1[[#This Row],[Age]]&lt;60),"Adult",IF(Table1[[#This Row],[Age]]&lt;18,"Child")))</f>
        <v>Senior Citizen</v>
      </c>
      <c r="L335" s="19"/>
    </row>
    <row r="336" spans="1:12" x14ac:dyDescent="0.25">
      <c r="A336" s="11" t="s">
        <v>361</v>
      </c>
      <c r="B336" s="11" t="s">
        <v>34</v>
      </c>
      <c r="C336" s="11" t="s">
        <v>40</v>
      </c>
      <c r="D336" s="11" t="s">
        <v>26</v>
      </c>
      <c r="E336" s="11" t="s">
        <v>13</v>
      </c>
      <c r="F336" s="11">
        <v>41</v>
      </c>
      <c r="G336" s="11">
        <v>187994.33</v>
      </c>
      <c r="H336" s="11">
        <v>29</v>
      </c>
      <c r="I336" s="12">
        <v>42</v>
      </c>
      <c r="J336" s="15" t="str">
        <f>IF(Table1[[#This Row],[Treatment Cost]]&gt;75000,"HIGH COST","LOW COST")</f>
        <v>HIGH COST</v>
      </c>
      <c r="K336" s="15" t="str">
        <f>IF(Table1[[#This Row],[Age]]&gt;=60,"Senior Citizen",IF(AND(Table1[[#This Row],[Age]]&gt;=18,Table1[[#This Row],[Age]]&lt;60),"Adult",IF(Table1[[#This Row],[Age]]&lt;18,"Child")))</f>
        <v>Adult</v>
      </c>
      <c r="L336" s="19"/>
    </row>
    <row r="337" spans="1:12" x14ac:dyDescent="0.25">
      <c r="A337" s="11" t="s">
        <v>362</v>
      </c>
      <c r="B337" s="11" t="s">
        <v>10</v>
      </c>
      <c r="C337" s="11" t="s">
        <v>40</v>
      </c>
      <c r="D337" s="11" t="s">
        <v>24</v>
      </c>
      <c r="E337" s="11" t="s">
        <v>13</v>
      </c>
      <c r="F337" s="11">
        <v>3</v>
      </c>
      <c r="G337" s="11">
        <v>160200.66</v>
      </c>
      <c r="H337" s="11">
        <v>20</v>
      </c>
      <c r="I337" s="12">
        <v>55</v>
      </c>
      <c r="J337" s="15" t="str">
        <f>IF(Table1[[#This Row],[Treatment Cost]]&gt;75000,"HIGH COST","LOW COST")</f>
        <v>HIGH COST</v>
      </c>
      <c r="K337" s="15" t="str">
        <f>IF(Table1[[#This Row],[Age]]&gt;=60,"Senior Citizen",IF(AND(Table1[[#This Row],[Age]]&gt;=18,Table1[[#This Row],[Age]]&lt;60),"Adult",IF(Table1[[#This Row],[Age]]&lt;18,"Child")))</f>
        <v>Child</v>
      </c>
      <c r="L337" s="19"/>
    </row>
    <row r="338" spans="1:12" x14ac:dyDescent="0.25">
      <c r="A338" s="11" t="s">
        <v>363</v>
      </c>
      <c r="B338" s="11" t="s">
        <v>34</v>
      </c>
      <c r="C338" s="11" t="s">
        <v>11</v>
      </c>
      <c r="D338" s="11" t="s">
        <v>16</v>
      </c>
      <c r="E338" s="11" t="s">
        <v>29</v>
      </c>
      <c r="F338" s="11">
        <v>84</v>
      </c>
      <c r="G338" s="11">
        <v>177880.62</v>
      </c>
      <c r="H338" s="11">
        <v>4</v>
      </c>
      <c r="I338" s="12">
        <v>96</v>
      </c>
      <c r="J338" s="15" t="str">
        <f>IF(Table1[[#This Row],[Treatment Cost]]&gt;75000,"HIGH COST","LOW COST")</f>
        <v>HIGH COST</v>
      </c>
      <c r="K338" s="15" t="str">
        <f>IF(Table1[[#This Row],[Age]]&gt;=60,"Senior Citizen",IF(AND(Table1[[#This Row],[Age]]&gt;=18,Table1[[#This Row],[Age]]&lt;60),"Adult",IF(Table1[[#This Row],[Age]]&lt;18,"Child")))</f>
        <v>Senior Citizen</v>
      </c>
      <c r="L338" s="19"/>
    </row>
    <row r="339" spans="1:12" x14ac:dyDescent="0.25">
      <c r="A339" s="11" t="s">
        <v>364</v>
      </c>
      <c r="B339" s="11" t="s">
        <v>19</v>
      </c>
      <c r="C339" s="11" t="s">
        <v>23</v>
      </c>
      <c r="D339" s="11" t="s">
        <v>24</v>
      </c>
      <c r="E339" s="11" t="s">
        <v>13</v>
      </c>
      <c r="F339" s="11">
        <v>44</v>
      </c>
      <c r="G339" s="11">
        <v>168879.38</v>
      </c>
      <c r="H339" s="11">
        <v>7</v>
      </c>
      <c r="I339" s="12">
        <v>63</v>
      </c>
      <c r="J339" s="15" t="str">
        <f>IF(Table1[[#This Row],[Treatment Cost]]&gt;75000,"HIGH COST","LOW COST")</f>
        <v>HIGH COST</v>
      </c>
      <c r="K339" s="15" t="str">
        <f>IF(Table1[[#This Row],[Age]]&gt;=60,"Senior Citizen",IF(AND(Table1[[#This Row],[Age]]&gt;=18,Table1[[#This Row],[Age]]&lt;60),"Adult",IF(Table1[[#This Row],[Age]]&lt;18,"Child")))</f>
        <v>Adult</v>
      </c>
      <c r="L339" s="19"/>
    </row>
    <row r="340" spans="1:12" x14ac:dyDescent="0.25">
      <c r="A340" s="11" t="s">
        <v>365</v>
      </c>
      <c r="B340" s="11" t="s">
        <v>19</v>
      </c>
      <c r="C340" s="11" t="s">
        <v>23</v>
      </c>
      <c r="D340" s="11" t="s">
        <v>26</v>
      </c>
      <c r="E340" s="11" t="s">
        <v>13</v>
      </c>
      <c r="F340" s="11">
        <v>41</v>
      </c>
      <c r="G340" s="11">
        <v>46864.7</v>
      </c>
      <c r="H340" s="11">
        <v>5</v>
      </c>
      <c r="I340" s="12">
        <v>91</v>
      </c>
      <c r="J340" s="15" t="str">
        <f>IF(Table1[[#This Row],[Treatment Cost]]&gt;75000,"HIGH COST","LOW COST")</f>
        <v>LOW COST</v>
      </c>
      <c r="K340" s="15" t="str">
        <f>IF(Table1[[#This Row],[Age]]&gt;=60,"Senior Citizen",IF(AND(Table1[[#This Row],[Age]]&gt;=18,Table1[[#This Row],[Age]]&lt;60),"Adult",IF(Table1[[#This Row],[Age]]&lt;18,"Child")))</f>
        <v>Adult</v>
      </c>
      <c r="L340" s="19"/>
    </row>
    <row r="341" spans="1:12" x14ac:dyDescent="0.25">
      <c r="A341" s="11" t="s">
        <v>366</v>
      </c>
      <c r="B341" s="11" t="s">
        <v>15</v>
      </c>
      <c r="C341" s="11" t="s">
        <v>40</v>
      </c>
      <c r="D341" s="11" t="s">
        <v>12</v>
      </c>
      <c r="E341" s="11" t="s">
        <v>17</v>
      </c>
      <c r="F341" s="11">
        <v>13</v>
      </c>
      <c r="G341" s="11">
        <v>189859.16</v>
      </c>
      <c r="H341" s="11">
        <v>4</v>
      </c>
      <c r="I341" s="12">
        <v>64</v>
      </c>
      <c r="J341" s="15" t="str">
        <f>IF(Table1[[#This Row],[Treatment Cost]]&gt;75000,"HIGH COST","LOW COST")</f>
        <v>HIGH COST</v>
      </c>
      <c r="K341" s="15" t="str">
        <f>IF(Table1[[#This Row],[Age]]&gt;=60,"Senior Citizen",IF(AND(Table1[[#This Row],[Age]]&gt;=18,Table1[[#This Row],[Age]]&lt;60),"Adult",IF(Table1[[#This Row],[Age]]&lt;18,"Child")))</f>
        <v>Child</v>
      </c>
      <c r="L341" s="19"/>
    </row>
    <row r="342" spans="1:12" x14ac:dyDescent="0.25">
      <c r="A342" s="11" t="s">
        <v>367</v>
      </c>
      <c r="B342" s="11" t="s">
        <v>36</v>
      </c>
      <c r="C342" s="11" t="s">
        <v>20</v>
      </c>
      <c r="D342" s="11" t="s">
        <v>24</v>
      </c>
      <c r="E342" s="11" t="s">
        <v>17</v>
      </c>
      <c r="F342" s="11">
        <v>53</v>
      </c>
      <c r="G342" s="11">
        <v>195313.79</v>
      </c>
      <c r="H342" s="11">
        <v>18</v>
      </c>
      <c r="I342" s="12">
        <v>87</v>
      </c>
      <c r="J342" s="15" t="str">
        <f>IF(Table1[[#This Row],[Treatment Cost]]&gt;75000,"HIGH COST","LOW COST")</f>
        <v>HIGH COST</v>
      </c>
      <c r="K342" s="15" t="str">
        <f>IF(Table1[[#This Row],[Age]]&gt;=60,"Senior Citizen",IF(AND(Table1[[#This Row],[Age]]&gt;=18,Table1[[#This Row],[Age]]&lt;60),"Adult",IF(Table1[[#This Row],[Age]]&lt;18,"Child")))</f>
        <v>Adult</v>
      </c>
      <c r="L342" s="19"/>
    </row>
    <row r="343" spans="1:12" x14ac:dyDescent="0.25">
      <c r="A343" s="11" t="s">
        <v>368</v>
      </c>
      <c r="B343" s="11" t="s">
        <v>34</v>
      </c>
      <c r="C343" s="11" t="s">
        <v>40</v>
      </c>
      <c r="D343" s="11" t="s">
        <v>16</v>
      </c>
      <c r="E343" s="11" t="s">
        <v>13</v>
      </c>
      <c r="F343" s="11">
        <v>10</v>
      </c>
      <c r="G343" s="11">
        <v>78115.460000000006</v>
      </c>
      <c r="H343" s="11">
        <v>26</v>
      </c>
      <c r="I343" s="12">
        <v>41</v>
      </c>
      <c r="J343" s="15" t="str">
        <f>IF(Table1[[#This Row],[Treatment Cost]]&gt;75000,"HIGH COST","LOW COST")</f>
        <v>HIGH COST</v>
      </c>
      <c r="K343" s="15" t="str">
        <f>IF(Table1[[#This Row],[Age]]&gt;=60,"Senior Citizen",IF(AND(Table1[[#This Row],[Age]]&gt;=18,Table1[[#This Row],[Age]]&lt;60),"Adult",IF(Table1[[#This Row],[Age]]&lt;18,"Child")))</f>
        <v>Child</v>
      </c>
      <c r="L343" s="19"/>
    </row>
    <row r="344" spans="1:12" x14ac:dyDescent="0.25">
      <c r="A344" s="11" t="s">
        <v>369</v>
      </c>
      <c r="B344" s="11" t="s">
        <v>19</v>
      </c>
      <c r="C344" s="11" t="s">
        <v>23</v>
      </c>
      <c r="D344" s="11" t="s">
        <v>12</v>
      </c>
      <c r="E344" s="11" t="s">
        <v>17</v>
      </c>
      <c r="F344" s="11">
        <v>84</v>
      </c>
      <c r="G344" s="11">
        <v>126153.08</v>
      </c>
      <c r="H344" s="11">
        <v>8</v>
      </c>
      <c r="I344" s="12">
        <v>79</v>
      </c>
      <c r="J344" s="15" t="str">
        <f>IF(Table1[[#This Row],[Treatment Cost]]&gt;75000,"HIGH COST","LOW COST")</f>
        <v>HIGH COST</v>
      </c>
      <c r="K344" s="15" t="str">
        <f>IF(Table1[[#This Row],[Age]]&gt;=60,"Senior Citizen",IF(AND(Table1[[#This Row],[Age]]&gt;=18,Table1[[#This Row],[Age]]&lt;60),"Adult",IF(Table1[[#This Row],[Age]]&lt;18,"Child")))</f>
        <v>Senior Citizen</v>
      </c>
      <c r="L344" s="19"/>
    </row>
    <row r="345" spans="1:12" x14ac:dyDescent="0.25">
      <c r="A345" s="11" t="s">
        <v>370</v>
      </c>
      <c r="B345" s="11" t="s">
        <v>31</v>
      </c>
      <c r="C345" s="11" t="s">
        <v>11</v>
      </c>
      <c r="D345" s="11" t="s">
        <v>24</v>
      </c>
      <c r="E345" s="11" t="s">
        <v>13</v>
      </c>
      <c r="F345" s="11">
        <v>67</v>
      </c>
      <c r="G345" s="11">
        <v>193270.44</v>
      </c>
      <c r="H345" s="11">
        <v>9</v>
      </c>
      <c r="I345" s="12">
        <v>43</v>
      </c>
      <c r="J345" s="15" t="str">
        <f>IF(Table1[[#This Row],[Treatment Cost]]&gt;75000,"HIGH COST","LOW COST")</f>
        <v>HIGH COST</v>
      </c>
      <c r="K345" s="15" t="str">
        <f>IF(Table1[[#This Row],[Age]]&gt;=60,"Senior Citizen",IF(AND(Table1[[#This Row],[Age]]&gt;=18,Table1[[#This Row],[Age]]&lt;60),"Adult",IF(Table1[[#This Row],[Age]]&lt;18,"Child")))</f>
        <v>Senior Citizen</v>
      </c>
      <c r="L345" s="19"/>
    </row>
    <row r="346" spans="1:12" x14ac:dyDescent="0.25">
      <c r="A346" s="11" t="s">
        <v>371</v>
      </c>
      <c r="B346" s="11" t="s">
        <v>10</v>
      </c>
      <c r="C346" s="11" t="s">
        <v>20</v>
      </c>
      <c r="D346" s="11" t="s">
        <v>12</v>
      </c>
      <c r="E346" s="11" t="s">
        <v>29</v>
      </c>
      <c r="F346" s="11">
        <v>10</v>
      </c>
      <c r="G346" s="11">
        <v>57883.35</v>
      </c>
      <c r="H346" s="11">
        <v>22</v>
      </c>
      <c r="I346" s="12">
        <v>41</v>
      </c>
      <c r="J346" s="15" t="str">
        <f>IF(Table1[[#This Row],[Treatment Cost]]&gt;75000,"HIGH COST","LOW COST")</f>
        <v>LOW COST</v>
      </c>
      <c r="K346" s="15" t="str">
        <f>IF(Table1[[#This Row],[Age]]&gt;=60,"Senior Citizen",IF(AND(Table1[[#This Row],[Age]]&gt;=18,Table1[[#This Row],[Age]]&lt;60),"Adult",IF(Table1[[#This Row],[Age]]&lt;18,"Child")))</f>
        <v>Child</v>
      </c>
      <c r="L346" s="19"/>
    </row>
    <row r="347" spans="1:12" x14ac:dyDescent="0.25">
      <c r="A347" s="11" t="s">
        <v>372</v>
      </c>
      <c r="B347" s="11" t="s">
        <v>15</v>
      </c>
      <c r="C347" s="11" t="s">
        <v>20</v>
      </c>
      <c r="D347" s="11" t="s">
        <v>12</v>
      </c>
      <c r="E347" s="11" t="s">
        <v>17</v>
      </c>
      <c r="F347" s="11">
        <v>67</v>
      </c>
      <c r="G347" s="11">
        <v>23241.89</v>
      </c>
      <c r="H347" s="11">
        <v>28</v>
      </c>
      <c r="I347" s="12">
        <v>63</v>
      </c>
      <c r="J347" s="15" t="str">
        <f>IF(Table1[[#This Row],[Treatment Cost]]&gt;75000,"HIGH COST","LOW COST")</f>
        <v>LOW COST</v>
      </c>
      <c r="K347" s="15" t="str">
        <f>IF(Table1[[#This Row],[Age]]&gt;=60,"Senior Citizen",IF(AND(Table1[[#This Row],[Age]]&gt;=18,Table1[[#This Row],[Age]]&lt;60),"Adult",IF(Table1[[#This Row],[Age]]&lt;18,"Child")))</f>
        <v>Senior Citizen</v>
      </c>
      <c r="L347" s="19"/>
    </row>
    <row r="348" spans="1:12" x14ac:dyDescent="0.25">
      <c r="A348" s="11" t="s">
        <v>373</v>
      </c>
      <c r="B348" s="11" t="s">
        <v>10</v>
      </c>
      <c r="C348" s="11" t="s">
        <v>20</v>
      </c>
      <c r="D348" s="11" t="s">
        <v>24</v>
      </c>
      <c r="E348" s="11" t="s">
        <v>29</v>
      </c>
      <c r="F348" s="11">
        <v>16</v>
      </c>
      <c r="G348" s="11">
        <v>14004.85</v>
      </c>
      <c r="H348" s="11">
        <v>13</v>
      </c>
      <c r="I348" s="12">
        <v>92</v>
      </c>
      <c r="J348" s="15" t="str">
        <f>IF(Table1[[#This Row],[Treatment Cost]]&gt;75000,"HIGH COST","LOW COST")</f>
        <v>LOW COST</v>
      </c>
      <c r="K348" s="15" t="str">
        <f>IF(Table1[[#This Row],[Age]]&gt;=60,"Senior Citizen",IF(AND(Table1[[#This Row],[Age]]&gt;=18,Table1[[#This Row],[Age]]&lt;60),"Adult",IF(Table1[[#This Row],[Age]]&lt;18,"Child")))</f>
        <v>Child</v>
      </c>
      <c r="L348" s="19"/>
    </row>
    <row r="349" spans="1:12" x14ac:dyDescent="0.25">
      <c r="A349" s="11" t="s">
        <v>374</v>
      </c>
      <c r="B349" s="11" t="s">
        <v>31</v>
      </c>
      <c r="C349" s="11" t="s">
        <v>23</v>
      </c>
      <c r="D349" s="11" t="s">
        <v>16</v>
      </c>
      <c r="E349" s="11" t="s">
        <v>13</v>
      </c>
      <c r="F349" s="11">
        <v>76</v>
      </c>
      <c r="G349" s="11">
        <v>107542.49</v>
      </c>
      <c r="H349" s="11">
        <v>1</v>
      </c>
      <c r="I349" s="12">
        <v>69</v>
      </c>
      <c r="J349" s="15" t="str">
        <f>IF(Table1[[#This Row],[Treatment Cost]]&gt;75000,"HIGH COST","LOW COST")</f>
        <v>HIGH COST</v>
      </c>
      <c r="K349" s="15" t="str">
        <f>IF(Table1[[#This Row],[Age]]&gt;=60,"Senior Citizen",IF(AND(Table1[[#This Row],[Age]]&gt;=18,Table1[[#This Row],[Age]]&lt;60),"Adult",IF(Table1[[#This Row],[Age]]&lt;18,"Child")))</f>
        <v>Senior Citizen</v>
      </c>
      <c r="L349" s="19"/>
    </row>
    <row r="350" spans="1:12" x14ac:dyDescent="0.25">
      <c r="A350" s="11" t="s">
        <v>375</v>
      </c>
      <c r="B350" s="11" t="s">
        <v>10</v>
      </c>
      <c r="C350" s="11" t="s">
        <v>11</v>
      </c>
      <c r="D350" s="11" t="s">
        <v>26</v>
      </c>
      <c r="E350" s="11" t="s">
        <v>13</v>
      </c>
      <c r="F350" s="11">
        <v>19</v>
      </c>
      <c r="G350" s="11">
        <v>60191.68</v>
      </c>
      <c r="H350" s="11">
        <v>20</v>
      </c>
      <c r="I350" s="12">
        <v>41</v>
      </c>
      <c r="J350" s="15" t="str">
        <f>IF(Table1[[#This Row],[Treatment Cost]]&gt;75000,"HIGH COST","LOW COST")</f>
        <v>LOW COST</v>
      </c>
      <c r="K350" s="15" t="str">
        <f>IF(Table1[[#This Row],[Age]]&gt;=60,"Senior Citizen",IF(AND(Table1[[#This Row],[Age]]&gt;=18,Table1[[#This Row],[Age]]&lt;60),"Adult",IF(Table1[[#This Row],[Age]]&lt;18,"Child")))</f>
        <v>Adult</v>
      </c>
      <c r="L350" s="19"/>
    </row>
    <row r="351" spans="1:12" x14ac:dyDescent="0.25">
      <c r="A351" s="11" t="s">
        <v>376</v>
      </c>
      <c r="B351" s="11" t="s">
        <v>36</v>
      </c>
      <c r="C351" s="11" t="s">
        <v>11</v>
      </c>
      <c r="D351" s="11" t="s">
        <v>26</v>
      </c>
      <c r="E351" s="11" t="s">
        <v>29</v>
      </c>
      <c r="F351" s="11">
        <v>73</v>
      </c>
      <c r="G351" s="11">
        <v>166844.68</v>
      </c>
      <c r="H351" s="11">
        <v>2</v>
      </c>
      <c r="I351" s="12">
        <v>80</v>
      </c>
      <c r="J351" s="15" t="str">
        <f>IF(Table1[[#This Row],[Treatment Cost]]&gt;75000,"HIGH COST","LOW COST")</f>
        <v>HIGH COST</v>
      </c>
      <c r="K351" s="15" t="str">
        <f>IF(Table1[[#This Row],[Age]]&gt;=60,"Senior Citizen",IF(AND(Table1[[#This Row],[Age]]&gt;=18,Table1[[#This Row],[Age]]&lt;60),"Adult",IF(Table1[[#This Row],[Age]]&lt;18,"Child")))</f>
        <v>Senior Citizen</v>
      </c>
      <c r="L351" s="19"/>
    </row>
    <row r="352" spans="1:12" x14ac:dyDescent="0.25">
      <c r="A352" s="11" t="s">
        <v>377</v>
      </c>
      <c r="B352" s="11" t="s">
        <v>36</v>
      </c>
      <c r="C352" s="11" t="s">
        <v>11</v>
      </c>
      <c r="D352" s="11" t="s">
        <v>16</v>
      </c>
      <c r="E352" s="11" t="s">
        <v>17</v>
      </c>
      <c r="F352" s="11">
        <v>6</v>
      </c>
      <c r="G352" s="11">
        <v>22990.880000000001</v>
      </c>
      <c r="H352" s="11">
        <v>20</v>
      </c>
      <c r="I352" s="12">
        <v>64</v>
      </c>
      <c r="J352" s="15" t="str">
        <f>IF(Table1[[#This Row],[Treatment Cost]]&gt;75000,"HIGH COST","LOW COST")</f>
        <v>LOW COST</v>
      </c>
      <c r="K352" s="15" t="str">
        <f>IF(Table1[[#This Row],[Age]]&gt;=60,"Senior Citizen",IF(AND(Table1[[#This Row],[Age]]&gt;=18,Table1[[#This Row],[Age]]&lt;60),"Adult",IF(Table1[[#This Row],[Age]]&lt;18,"Child")))</f>
        <v>Child</v>
      </c>
      <c r="L352" s="19"/>
    </row>
    <row r="353" spans="1:12" x14ac:dyDescent="0.25">
      <c r="A353" s="11" t="s">
        <v>378</v>
      </c>
      <c r="B353" s="11" t="s">
        <v>34</v>
      </c>
      <c r="C353" s="11" t="s">
        <v>40</v>
      </c>
      <c r="D353" s="11" t="s">
        <v>12</v>
      </c>
      <c r="E353" s="11" t="s">
        <v>17</v>
      </c>
      <c r="F353" s="11">
        <v>60</v>
      </c>
      <c r="G353" s="11">
        <v>104203.72</v>
      </c>
      <c r="H353" s="11">
        <v>25</v>
      </c>
      <c r="I353" s="12">
        <v>53</v>
      </c>
      <c r="J353" s="15" t="str">
        <f>IF(Table1[[#This Row],[Treatment Cost]]&gt;75000,"HIGH COST","LOW COST")</f>
        <v>HIGH COST</v>
      </c>
      <c r="K353" s="15" t="str">
        <f>IF(Table1[[#This Row],[Age]]&gt;=60,"Senior Citizen",IF(AND(Table1[[#This Row],[Age]]&gt;=18,Table1[[#This Row],[Age]]&lt;60),"Adult",IF(Table1[[#This Row],[Age]]&lt;18,"Child")))</f>
        <v>Senior Citizen</v>
      </c>
      <c r="L353" s="19"/>
    </row>
    <row r="354" spans="1:12" x14ac:dyDescent="0.25">
      <c r="A354" s="11" t="s">
        <v>379</v>
      </c>
      <c r="B354" s="11" t="s">
        <v>34</v>
      </c>
      <c r="C354" s="11" t="s">
        <v>23</v>
      </c>
      <c r="D354" s="11" t="s">
        <v>26</v>
      </c>
      <c r="E354" s="11" t="s">
        <v>17</v>
      </c>
      <c r="F354" s="11">
        <v>89</v>
      </c>
      <c r="G354" s="11">
        <v>28833.83</v>
      </c>
      <c r="H354" s="11">
        <v>12</v>
      </c>
      <c r="I354" s="12">
        <v>69</v>
      </c>
      <c r="J354" s="15" t="str">
        <f>IF(Table1[[#This Row],[Treatment Cost]]&gt;75000,"HIGH COST","LOW COST")</f>
        <v>LOW COST</v>
      </c>
      <c r="K354" s="15" t="str">
        <f>IF(Table1[[#This Row],[Age]]&gt;=60,"Senior Citizen",IF(AND(Table1[[#This Row],[Age]]&gt;=18,Table1[[#This Row],[Age]]&lt;60),"Adult",IF(Table1[[#This Row],[Age]]&lt;18,"Child")))</f>
        <v>Senior Citizen</v>
      </c>
      <c r="L354" s="19"/>
    </row>
    <row r="355" spans="1:12" x14ac:dyDescent="0.25">
      <c r="A355" s="11" t="s">
        <v>380</v>
      </c>
      <c r="B355" s="11" t="s">
        <v>19</v>
      </c>
      <c r="C355" s="11" t="s">
        <v>20</v>
      </c>
      <c r="D355" s="11" t="s">
        <v>24</v>
      </c>
      <c r="E355" s="11" t="s">
        <v>29</v>
      </c>
      <c r="F355" s="11">
        <v>79</v>
      </c>
      <c r="G355" s="11">
        <v>8250.98</v>
      </c>
      <c r="H355" s="11">
        <v>29</v>
      </c>
      <c r="I355" s="12">
        <v>44</v>
      </c>
      <c r="J355" s="15" t="str">
        <f>IF(Table1[[#This Row],[Treatment Cost]]&gt;75000,"HIGH COST","LOW COST")</f>
        <v>LOW COST</v>
      </c>
      <c r="K355" s="15" t="str">
        <f>IF(Table1[[#This Row],[Age]]&gt;=60,"Senior Citizen",IF(AND(Table1[[#This Row],[Age]]&gt;=18,Table1[[#This Row],[Age]]&lt;60),"Adult",IF(Table1[[#This Row],[Age]]&lt;18,"Child")))</f>
        <v>Senior Citizen</v>
      </c>
      <c r="L355" s="19"/>
    </row>
    <row r="356" spans="1:12" x14ac:dyDescent="0.25">
      <c r="A356" s="11" t="s">
        <v>381</v>
      </c>
      <c r="B356" s="11" t="s">
        <v>34</v>
      </c>
      <c r="C356" s="11" t="s">
        <v>40</v>
      </c>
      <c r="D356" s="11" t="s">
        <v>12</v>
      </c>
      <c r="E356" s="11" t="s">
        <v>13</v>
      </c>
      <c r="F356" s="11">
        <v>62</v>
      </c>
      <c r="G356" s="11">
        <v>15661.54</v>
      </c>
      <c r="H356" s="11">
        <v>19</v>
      </c>
      <c r="I356" s="12">
        <v>51</v>
      </c>
      <c r="J356" s="15" t="str">
        <f>IF(Table1[[#This Row],[Treatment Cost]]&gt;75000,"HIGH COST","LOW COST")</f>
        <v>LOW COST</v>
      </c>
      <c r="K356" s="15" t="str">
        <f>IF(Table1[[#This Row],[Age]]&gt;=60,"Senior Citizen",IF(AND(Table1[[#This Row],[Age]]&gt;=18,Table1[[#This Row],[Age]]&lt;60),"Adult",IF(Table1[[#This Row],[Age]]&lt;18,"Child")))</f>
        <v>Senior Citizen</v>
      </c>
      <c r="L356" s="19"/>
    </row>
    <row r="357" spans="1:12" x14ac:dyDescent="0.25">
      <c r="A357" s="11" t="s">
        <v>382</v>
      </c>
      <c r="B357" s="11" t="s">
        <v>34</v>
      </c>
      <c r="C357" s="11" t="s">
        <v>20</v>
      </c>
      <c r="D357" s="11" t="s">
        <v>26</v>
      </c>
      <c r="E357" s="11" t="s">
        <v>29</v>
      </c>
      <c r="F357" s="11">
        <v>85</v>
      </c>
      <c r="G357" s="11">
        <v>198515.7</v>
      </c>
      <c r="H357" s="11">
        <v>21</v>
      </c>
      <c r="I357" s="12">
        <v>93</v>
      </c>
      <c r="J357" s="15" t="str">
        <f>IF(Table1[[#This Row],[Treatment Cost]]&gt;75000,"HIGH COST","LOW COST")</f>
        <v>HIGH COST</v>
      </c>
      <c r="K357" s="15" t="str">
        <f>IF(Table1[[#This Row],[Age]]&gt;=60,"Senior Citizen",IF(AND(Table1[[#This Row],[Age]]&gt;=18,Table1[[#This Row],[Age]]&lt;60),"Adult",IF(Table1[[#This Row],[Age]]&lt;18,"Child")))</f>
        <v>Senior Citizen</v>
      </c>
      <c r="L357" s="19"/>
    </row>
    <row r="358" spans="1:12" x14ac:dyDescent="0.25">
      <c r="A358" s="11" t="s">
        <v>383</v>
      </c>
      <c r="B358" s="11" t="s">
        <v>31</v>
      </c>
      <c r="C358" s="11" t="s">
        <v>23</v>
      </c>
      <c r="D358" s="11" t="s">
        <v>21</v>
      </c>
      <c r="E358" s="11" t="s">
        <v>29</v>
      </c>
      <c r="F358" s="11">
        <v>24</v>
      </c>
      <c r="G358" s="11">
        <v>183821.7</v>
      </c>
      <c r="H358" s="11">
        <v>23</v>
      </c>
      <c r="I358" s="12">
        <v>97</v>
      </c>
      <c r="J358" s="15" t="str">
        <f>IF(Table1[[#This Row],[Treatment Cost]]&gt;75000,"HIGH COST","LOW COST")</f>
        <v>HIGH COST</v>
      </c>
      <c r="K358" s="15" t="str">
        <f>IF(Table1[[#This Row],[Age]]&gt;=60,"Senior Citizen",IF(AND(Table1[[#This Row],[Age]]&gt;=18,Table1[[#This Row],[Age]]&lt;60),"Adult",IF(Table1[[#This Row],[Age]]&lt;18,"Child")))</f>
        <v>Adult</v>
      </c>
      <c r="L358" s="19"/>
    </row>
    <row r="359" spans="1:12" x14ac:dyDescent="0.25">
      <c r="A359" s="11" t="s">
        <v>384</v>
      </c>
      <c r="B359" s="11" t="s">
        <v>10</v>
      </c>
      <c r="C359" s="11" t="s">
        <v>23</v>
      </c>
      <c r="D359" s="11" t="s">
        <v>26</v>
      </c>
      <c r="E359" s="11" t="s">
        <v>29</v>
      </c>
      <c r="F359" s="11">
        <v>7</v>
      </c>
      <c r="G359" s="11">
        <v>91450.4</v>
      </c>
      <c r="H359" s="11">
        <v>24</v>
      </c>
      <c r="I359" s="12">
        <v>51</v>
      </c>
      <c r="J359" s="15" t="str">
        <f>IF(Table1[[#This Row],[Treatment Cost]]&gt;75000,"HIGH COST","LOW COST")</f>
        <v>HIGH COST</v>
      </c>
      <c r="K359" s="15" t="str">
        <f>IF(Table1[[#This Row],[Age]]&gt;=60,"Senior Citizen",IF(AND(Table1[[#This Row],[Age]]&gt;=18,Table1[[#This Row],[Age]]&lt;60),"Adult",IF(Table1[[#This Row],[Age]]&lt;18,"Child")))</f>
        <v>Child</v>
      </c>
      <c r="L359" s="19"/>
    </row>
    <row r="360" spans="1:12" x14ac:dyDescent="0.25">
      <c r="A360" s="11" t="s">
        <v>385</v>
      </c>
      <c r="B360" s="11" t="s">
        <v>31</v>
      </c>
      <c r="C360" s="11" t="s">
        <v>23</v>
      </c>
      <c r="D360" s="11" t="s">
        <v>24</v>
      </c>
      <c r="E360" s="11" t="s">
        <v>13</v>
      </c>
      <c r="F360" s="11">
        <v>27</v>
      </c>
      <c r="G360" s="11">
        <v>41216.46</v>
      </c>
      <c r="H360" s="11">
        <v>20</v>
      </c>
      <c r="I360" s="12">
        <v>71</v>
      </c>
      <c r="J360" s="15" t="str">
        <f>IF(Table1[[#This Row],[Treatment Cost]]&gt;75000,"HIGH COST","LOW COST")</f>
        <v>LOW COST</v>
      </c>
      <c r="K360" s="15" t="str">
        <f>IF(Table1[[#This Row],[Age]]&gt;=60,"Senior Citizen",IF(AND(Table1[[#This Row],[Age]]&gt;=18,Table1[[#This Row],[Age]]&lt;60),"Adult",IF(Table1[[#This Row],[Age]]&lt;18,"Child")))</f>
        <v>Adult</v>
      </c>
      <c r="L360" s="19"/>
    </row>
    <row r="361" spans="1:12" x14ac:dyDescent="0.25">
      <c r="A361" s="11" t="s">
        <v>386</v>
      </c>
      <c r="B361" s="11" t="s">
        <v>31</v>
      </c>
      <c r="C361" s="11" t="s">
        <v>40</v>
      </c>
      <c r="D361" s="11" t="s">
        <v>16</v>
      </c>
      <c r="E361" s="11" t="s">
        <v>13</v>
      </c>
      <c r="F361" s="11">
        <v>84</v>
      </c>
      <c r="G361" s="11">
        <v>62507.06</v>
      </c>
      <c r="H361" s="11">
        <v>8</v>
      </c>
      <c r="I361" s="12">
        <v>50</v>
      </c>
      <c r="J361" s="15" t="str">
        <f>IF(Table1[[#This Row],[Treatment Cost]]&gt;75000,"HIGH COST","LOW COST")</f>
        <v>LOW COST</v>
      </c>
      <c r="K361" s="15" t="str">
        <f>IF(Table1[[#This Row],[Age]]&gt;=60,"Senior Citizen",IF(AND(Table1[[#This Row],[Age]]&gt;=18,Table1[[#This Row],[Age]]&lt;60),"Adult",IF(Table1[[#This Row],[Age]]&lt;18,"Child")))</f>
        <v>Senior Citizen</v>
      </c>
      <c r="L361" s="19"/>
    </row>
    <row r="362" spans="1:12" x14ac:dyDescent="0.25">
      <c r="A362" s="11" t="s">
        <v>387</v>
      </c>
      <c r="B362" s="11" t="s">
        <v>19</v>
      </c>
      <c r="C362" s="11" t="s">
        <v>23</v>
      </c>
      <c r="D362" s="11" t="s">
        <v>12</v>
      </c>
      <c r="E362" s="11" t="s">
        <v>17</v>
      </c>
      <c r="F362" s="11">
        <v>47</v>
      </c>
      <c r="G362" s="11">
        <v>8715.9</v>
      </c>
      <c r="H362" s="11">
        <v>18</v>
      </c>
      <c r="I362" s="12">
        <v>91</v>
      </c>
      <c r="J362" s="15" t="str">
        <f>IF(Table1[[#This Row],[Treatment Cost]]&gt;75000,"HIGH COST","LOW COST")</f>
        <v>LOW COST</v>
      </c>
      <c r="K362" s="15" t="str">
        <f>IF(Table1[[#This Row],[Age]]&gt;=60,"Senior Citizen",IF(AND(Table1[[#This Row],[Age]]&gt;=18,Table1[[#This Row],[Age]]&lt;60),"Adult",IF(Table1[[#This Row],[Age]]&lt;18,"Child")))</f>
        <v>Adult</v>
      </c>
      <c r="L362" s="19"/>
    </row>
    <row r="363" spans="1:12" x14ac:dyDescent="0.25">
      <c r="A363" s="11" t="s">
        <v>388</v>
      </c>
      <c r="B363" s="11" t="s">
        <v>10</v>
      </c>
      <c r="C363" s="11" t="s">
        <v>40</v>
      </c>
      <c r="D363" s="11" t="s">
        <v>16</v>
      </c>
      <c r="E363" s="11" t="s">
        <v>29</v>
      </c>
      <c r="F363" s="11">
        <v>84</v>
      </c>
      <c r="G363" s="11">
        <v>135564.47</v>
      </c>
      <c r="H363" s="11">
        <v>1</v>
      </c>
      <c r="I363" s="12">
        <v>68</v>
      </c>
      <c r="J363" s="15" t="str">
        <f>IF(Table1[[#This Row],[Treatment Cost]]&gt;75000,"HIGH COST","LOW COST")</f>
        <v>HIGH COST</v>
      </c>
      <c r="K363" s="15" t="str">
        <f>IF(Table1[[#This Row],[Age]]&gt;=60,"Senior Citizen",IF(AND(Table1[[#This Row],[Age]]&gt;=18,Table1[[#This Row],[Age]]&lt;60),"Adult",IF(Table1[[#This Row],[Age]]&lt;18,"Child")))</f>
        <v>Senior Citizen</v>
      </c>
      <c r="L363" s="19"/>
    </row>
    <row r="364" spans="1:12" x14ac:dyDescent="0.25">
      <c r="A364" s="11" t="s">
        <v>389</v>
      </c>
      <c r="B364" s="11" t="s">
        <v>36</v>
      </c>
      <c r="C364" s="11" t="s">
        <v>40</v>
      </c>
      <c r="D364" s="11" t="s">
        <v>12</v>
      </c>
      <c r="E364" s="11" t="s">
        <v>17</v>
      </c>
      <c r="F364" s="11">
        <v>45</v>
      </c>
      <c r="G364" s="11">
        <v>152012.68</v>
      </c>
      <c r="H364" s="11">
        <v>26</v>
      </c>
      <c r="I364" s="12">
        <v>46</v>
      </c>
      <c r="J364" s="15" t="str">
        <f>IF(Table1[[#This Row],[Treatment Cost]]&gt;75000,"HIGH COST","LOW COST")</f>
        <v>HIGH COST</v>
      </c>
      <c r="K364" s="15" t="str">
        <f>IF(Table1[[#This Row],[Age]]&gt;=60,"Senior Citizen",IF(AND(Table1[[#This Row],[Age]]&gt;=18,Table1[[#This Row],[Age]]&lt;60),"Adult",IF(Table1[[#This Row],[Age]]&lt;18,"Child")))</f>
        <v>Adult</v>
      </c>
      <c r="L364" s="19"/>
    </row>
    <row r="365" spans="1:12" x14ac:dyDescent="0.25">
      <c r="A365" s="11" t="s">
        <v>390</v>
      </c>
      <c r="B365" s="11" t="s">
        <v>34</v>
      </c>
      <c r="C365" s="11" t="s">
        <v>40</v>
      </c>
      <c r="D365" s="11" t="s">
        <v>12</v>
      </c>
      <c r="E365" s="11" t="s">
        <v>29</v>
      </c>
      <c r="F365" s="11">
        <v>87</v>
      </c>
      <c r="G365" s="11">
        <v>58815.96</v>
      </c>
      <c r="H365" s="11">
        <v>14</v>
      </c>
      <c r="I365" s="12">
        <v>66</v>
      </c>
      <c r="J365" s="15" t="str">
        <f>IF(Table1[[#This Row],[Treatment Cost]]&gt;75000,"HIGH COST","LOW COST")</f>
        <v>LOW COST</v>
      </c>
      <c r="K365" s="15" t="str">
        <f>IF(Table1[[#This Row],[Age]]&gt;=60,"Senior Citizen",IF(AND(Table1[[#This Row],[Age]]&gt;=18,Table1[[#This Row],[Age]]&lt;60),"Adult",IF(Table1[[#This Row],[Age]]&lt;18,"Child")))</f>
        <v>Senior Citizen</v>
      </c>
      <c r="L365" s="19"/>
    </row>
    <row r="366" spans="1:12" x14ac:dyDescent="0.25">
      <c r="A366" s="11" t="s">
        <v>391</v>
      </c>
      <c r="B366" s="11" t="s">
        <v>31</v>
      </c>
      <c r="C366" s="11" t="s">
        <v>20</v>
      </c>
      <c r="D366" s="11" t="s">
        <v>16</v>
      </c>
      <c r="E366" s="11" t="s">
        <v>13</v>
      </c>
      <c r="F366" s="11">
        <v>64</v>
      </c>
      <c r="G366" s="11">
        <v>129199.53</v>
      </c>
      <c r="H366" s="11">
        <v>1</v>
      </c>
      <c r="I366" s="12">
        <v>40</v>
      </c>
      <c r="J366" s="15" t="str">
        <f>IF(Table1[[#This Row],[Treatment Cost]]&gt;75000,"HIGH COST","LOW COST")</f>
        <v>HIGH COST</v>
      </c>
      <c r="K366" s="15" t="str">
        <f>IF(Table1[[#This Row],[Age]]&gt;=60,"Senior Citizen",IF(AND(Table1[[#This Row],[Age]]&gt;=18,Table1[[#This Row],[Age]]&lt;60),"Adult",IF(Table1[[#This Row],[Age]]&lt;18,"Child")))</f>
        <v>Senior Citizen</v>
      </c>
      <c r="L366" s="19"/>
    </row>
    <row r="367" spans="1:12" x14ac:dyDescent="0.25">
      <c r="A367" s="11" t="s">
        <v>392</v>
      </c>
      <c r="B367" s="11" t="s">
        <v>15</v>
      </c>
      <c r="C367" s="11" t="s">
        <v>23</v>
      </c>
      <c r="D367" s="11" t="s">
        <v>24</v>
      </c>
      <c r="E367" s="11" t="s">
        <v>13</v>
      </c>
      <c r="F367" s="11">
        <v>9</v>
      </c>
      <c r="G367" s="11">
        <v>89832.39</v>
      </c>
      <c r="H367" s="11">
        <v>18</v>
      </c>
      <c r="I367" s="12">
        <v>96</v>
      </c>
      <c r="J367" s="15" t="str">
        <f>IF(Table1[[#This Row],[Treatment Cost]]&gt;75000,"HIGH COST","LOW COST")</f>
        <v>HIGH COST</v>
      </c>
      <c r="K367" s="15" t="str">
        <f>IF(Table1[[#This Row],[Age]]&gt;=60,"Senior Citizen",IF(AND(Table1[[#This Row],[Age]]&gt;=18,Table1[[#This Row],[Age]]&lt;60),"Adult",IF(Table1[[#This Row],[Age]]&lt;18,"Child")))</f>
        <v>Child</v>
      </c>
      <c r="L367" s="19"/>
    </row>
    <row r="368" spans="1:12" x14ac:dyDescent="0.25">
      <c r="A368" s="11" t="s">
        <v>393</v>
      </c>
      <c r="B368" s="11" t="s">
        <v>15</v>
      </c>
      <c r="C368" s="11" t="s">
        <v>20</v>
      </c>
      <c r="D368" s="11" t="s">
        <v>24</v>
      </c>
      <c r="E368" s="11" t="s">
        <v>13</v>
      </c>
      <c r="F368" s="11">
        <v>30</v>
      </c>
      <c r="G368" s="11">
        <v>115206.42</v>
      </c>
      <c r="H368" s="11">
        <v>6</v>
      </c>
      <c r="I368" s="12">
        <v>63</v>
      </c>
      <c r="J368" s="15" t="str">
        <f>IF(Table1[[#This Row],[Treatment Cost]]&gt;75000,"HIGH COST","LOW COST")</f>
        <v>HIGH COST</v>
      </c>
      <c r="K368" s="15" t="str">
        <f>IF(Table1[[#This Row],[Age]]&gt;=60,"Senior Citizen",IF(AND(Table1[[#This Row],[Age]]&gt;=18,Table1[[#This Row],[Age]]&lt;60),"Adult",IF(Table1[[#This Row],[Age]]&lt;18,"Child")))</f>
        <v>Adult</v>
      </c>
      <c r="L368" s="19"/>
    </row>
    <row r="369" spans="1:12" x14ac:dyDescent="0.25">
      <c r="A369" s="11" t="s">
        <v>394</v>
      </c>
      <c r="B369" s="11" t="s">
        <v>15</v>
      </c>
      <c r="C369" s="11" t="s">
        <v>20</v>
      </c>
      <c r="D369" s="11" t="s">
        <v>12</v>
      </c>
      <c r="E369" s="11" t="s">
        <v>17</v>
      </c>
      <c r="F369" s="11">
        <v>37</v>
      </c>
      <c r="G369" s="11">
        <v>46208.9</v>
      </c>
      <c r="H369" s="11">
        <v>18</v>
      </c>
      <c r="I369" s="12">
        <v>75</v>
      </c>
      <c r="J369" s="15" t="str">
        <f>IF(Table1[[#This Row],[Treatment Cost]]&gt;75000,"HIGH COST","LOW COST")</f>
        <v>LOW COST</v>
      </c>
      <c r="K369" s="15" t="str">
        <f>IF(Table1[[#This Row],[Age]]&gt;=60,"Senior Citizen",IF(AND(Table1[[#This Row],[Age]]&gt;=18,Table1[[#This Row],[Age]]&lt;60),"Adult",IF(Table1[[#This Row],[Age]]&lt;18,"Child")))</f>
        <v>Adult</v>
      </c>
      <c r="L369" s="19"/>
    </row>
    <row r="370" spans="1:12" x14ac:dyDescent="0.25">
      <c r="A370" s="11" t="s">
        <v>395</v>
      </c>
      <c r="B370" s="11" t="s">
        <v>31</v>
      </c>
      <c r="C370" s="11" t="s">
        <v>23</v>
      </c>
      <c r="D370" s="11" t="s">
        <v>16</v>
      </c>
      <c r="E370" s="11" t="s">
        <v>17</v>
      </c>
      <c r="F370" s="11">
        <v>40</v>
      </c>
      <c r="G370" s="11">
        <v>152496.29999999999</v>
      </c>
      <c r="H370" s="11">
        <v>22</v>
      </c>
      <c r="I370" s="12">
        <v>79</v>
      </c>
      <c r="J370" s="15" t="str">
        <f>IF(Table1[[#This Row],[Treatment Cost]]&gt;75000,"HIGH COST","LOW COST")</f>
        <v>HIGH COST</v>
      </c>
      <c r="K370" s="15" t="str">
        <f>IF(Table1[[#This Row],[Age]]&gt;=60,"Senior Citizen",IF(AND(Table1[[#This Row],[Age]]&gt;=18,Table1[[#This Row],[Age]]&lt;60),"Adult",IF(Table1[[#This Row],[Age]]&lt;18,"Child")))</f>
        <v>Adult</v>
      </c>
      <c r="L370" s="19"/>
    </row>
    <row r="371" spans="1:12" x14ac:dyDescent="0.25">
      <c r="A371" s="11" t="s">
        <v>396</v>
      </c>
      <c r="B371" s="11" t="s">
        <v>15</v>
      </c>
      <c r="C371" s="11" t="s">
        <v>20</v>
      </c>
      <c r="D371" s="11" t="s">
        <v>16</v>
      </c>
      <c r="E371" s="11" t="s">
        <v>13</v>
      </c>
      <c r="F371" s="11">
        <v>87</v>
      </c>
      <c r="G371" s="11">
        <v>182651.36</v>
      </c>
      <c r="H371" s="11">
        <v>28</v>
      </c>
      <c r="I371" s="12">
        <v>67</v>
      </c>
      <c r="J371" s="15" t="str">
        <f>IF(Table1[[#This Row],[Treatment Cost]]&gt;75000,"HIGH COST","LOW COST")</f>
        <v>HIGH COST</v>
      </c>
      <c r="K371" s="15" t="str">
        <f>IF(Table1[[#This Row],[Age]]&gt;=60,"Senior Citizen",IF(AND(Table1[[#This Row],[Age]]&gt;=18,Table1[[#This Row],[Age]]&lt;60),"Adult",IF(Table1[[#This Row],[Age]]&lt;18,"Child")))</f>
        <v>Senior Citizen</v>
      </c>
      <c r="L371" s="19"/>
    </row>
    <row r="372" spans="1:12" x14ac:dyDescent="0.25">
      <c r="A372" s="11" t="s">
        <v>397</v>
      </c>
      <c r="B372" s="11" t="s">
        <v>19</v>
      </c>
      <c r="C372" s="11" t="s">
        <v>20</v>
      </c>
      <c r="D372" s="11" t="s">
        <v>21</v>
      </c>
      <c r="E372" s="11" t="s">
        <v>13</v>
      </c>
      <c r="F372" s="11">
        <v>34</v>
      </c>
      <c r="G372" s="11">
        <v>74700.039999999994</v>
      </c>
      <c r="H372" s="11">
        <v>20</v>
      </c>
      <c r="I372" s="12">
        <v>63</v>
      </c>
      <c r="J372" s="15" t="str">
        <f>IF(Table1[[#This Row],[Treatment Cost]]&gt;75000,"HIGH COST","LOW COST")</f>
        <v>LOW COST</v>
      </c>
      <c r="K372" s="15" t="str">
        <f>IF(Table1[[#This Row],[Age]]&gt;=60,"Senior Citizen",IF(AND(Table1[[#This Row],[Age]]&gt;=18,Table1[[#This Row],[Age]]&lt;60),"Adult",IF(Table1[[#This Row],[Age]]&lt;18,"Child")))</f>
        <v>Adult</v>
      </c>
      <c r="L372" s="19"/>
    </row>
    <row r="373" spans="1:12" x14ac:dyDescent="0.25">
      <c r="A373" s="11" t="s">
        <v>398</v>
      </c>
      <c r="B373" s="11" t="s">
        <v>15</v>
      </c>
      <c r="C373" s="11" t="s">
        <v>40</v>
      </c>
      <c r="D373" s="11" t="s">
        <v>21</v>
      </c>
      <c r="E373" s="11" t="s">
        <v>17</v>
      </c>
      <c r="F373" s="11">
        <v>45</v>
      </c>
      <c r="G373" s="11">
        <v>96269.21</v>
      </c>
      <c r="H373" s="11">
        <v>6</v>
      </c>
      <c r="I373" s="12">
        <v>76</v>
      </c>
      <c r="J373" s="15" t="str">
        <f>IF(Table1[[#This Row],[Treatment Cost]]&gt;75000,"HIGH COST","LOW COST")</f>
        <v>HIGH COST</v>
      </c>
      <c r="K373" s="15" t="str">
        <f>IF(Table1[[#This Row],[Age]]&gt;=60,"Senior Citizen",IF(AND(Table1[[#This Row],[Age]]&gt;=18,Table1[[#This Row],[Age]]&lt;60),"Adult",IF(Table1[[#This Row],[Age]]&lt;18,"Child")))</f>
        <v>Adult</v>
      </c>
      <c r="L373" s="19"/>
    </row>
    <row r="374" spans="1:12" x14ac:dyDescent="0.25">
      <c r="A374" s="11" t="s">
        <v>399</v>
      </c>
      <c r="B374" s="11" t="s">
        <v>19</v>
      </c>
      <c r="C374" s="11" t="s">
        <v>20</v>
      </c>
      <c r="D374" s="11" t="s">
        <v>12</v>
      </c>
      <c r="E374" s="11" t="s">
        <v>17</v>
      </c>
      <c r="F374" s="11">
        <v>20</v>
      </c>
      <c r="G374" s="11">
        <v>187603.56</v>
      </c>
      <c r="H374" s="11">
        <v>4</v>
      </c>
      <c r="I374" s="12">
        <v>51</v>
      </c>
      <c r="J374" s="15" t="str">
        <f>IF(Table1[[#This Row],[Treatment Cost]]&gt;75000,"HIGH COST","LOW COST")</f>
        <v>HIGH COST</v>
      </c>
      <c r="K374" s="15" t="str">
        <f>IF(Table1[[#This Row],[Age]]&gt;=60,"Senior Citizen",IF(AND(Table1[[#This Row],[Age]]&gt;=18,Table1[[#This Row],[Age]]&lt;60),"Adult",IF(Table1[[#This Row],[Age]]&lt;18,"Child")))</f>
        <v>Adult</v>
      </c>
      <c r="L374" s="19"/>
    </row>
    <row r="375" spans="1:12" x14ac:dyDescent="0.25">
      <c r="A375" s="11" t="s">
        <v>400</v>
      </c>
      <c r="B375" s="11" t="s">
        <v>31</v>
      </c>
      <c r="C375" s="11" t="s">
        <v>20</v>
      </c>
      <c r="D375" s="11" t="s">
        <v>21</v>
      </c>
      <c r="E375" s="11" t="s">
        <v>13</v>
      </c>
      <c r="F375" s="11">
        <v>35</v>
      </c>
      <c r="G375" s="11">
        <v>19353.43</v>
      </c>
      <c r="H375" s="11">
        <v>12</v>
      </c>
      <c r="I375" s="12">
        <v>100</v>
      </c>
      <c r="J375" s="15" t="str">
        <f>IF(Table1[[#This Row],[Treatment Cost]]&gt;75000,"HIGH COST","LOW COST")</f>
        <v>LOW COST</v>
      </c>
      <c r="K375" s="15" t="str">
        <f>IF(Table1[[#This Row],[Age]]&gt;=60,"Senior Citizen",IF(AND(Table1[[#This Row],[Age]]&gt;=18,Table1[[#This Row],[Age]]&lt;60),"Adult",IF(Table1[[#This Row],[Age]]&lt;18,"Child")))</f>
        <v>Adult</v>
      </c>
      <c r="L375" s="19"/>
    </row>
    <row r="376" spans="1:12" x14ac:dyDescent="0.25">
      <c r="A376" s="11" t="s">
        <v>401</v>
      </c>
      <c r="B376" s="11" t="s">
        <v>19</v>
      </c>
      <c r="C376" s="11" t="s">
        <v>20</v>
      </c>
      <c r="D376" s="11" t="s">
        <v>21</v>
      </c>
      <c r="E376" s="11" t="s">
        <v>29</v>
      </c>
      <c r="F376" s="11">
        <v>38</v>
      </c>
      <c r="G376" s="11">
        <v>3978.97</v>
      </c>
      <c r="H376" s="11">
        <v>10</v>
      </c>
      <c r="I376" s="12">
        <v>93</v>
      </c>
      <c r="J376" s="15" t="str">
        <f>IF(Table1[[#This Row],[Treatment Cost]]&gt;75000,"HIGH COST","LOW COST")</f>
        <v>LOW COST</v>
      </c>
      <c r="K376" s="15" t="str">
        <f>IF(Table1[[#This Row],[Age]]&gt;=60,"Senior Citizen",IF(AND(Table1[[#This Row],[Age]]&gt;=18,Table1[[#This Row],[Age]]&lt;60),"Adult",IF(Table1[[#This Row],[Age]]&lt;18,"Child")))</f>
        <v>Adult</v>
      </c>
      <c r="L376" s="19"/>
    </row>
    <row r="377" spans="1:12" x14ac:dyDescent="0.25">
      <c r="A377" s="11" t="s">
        <v>402</v>
      </c>
      <c r="B377" s="11" t="s">
        <v>36</v>
      </c>
      <c r="C377" s="11" t="s">
        <v>40</v>
      </c>
      <c r="D377" s="11" t="s">
        <v>24</v>
      </c>
      <c r="E377" s="11" t="s">
        <v>13</v>
      </c>
      <c r="F377" s="11">
        <v>76</v>
      </c>
      <c r="G377" s="11">
        <v>35161.89</v>
      </c>
      <c r="H377" s="11">
        <v>21</v>
      </c>
      <c r="I377" s="12">
        <v>40</v>
      </c>
      <c r="J377" s="15" t="str">
        <f>IF(Table1[[#This Row],[Treatment Cost]]&gt;75000,"HIGH COST","LOW COST")</f>
        <v>LOW COST</v>
      </c>
      <c r="K377" s="15" t="str">
        <f>IF(Table1[[#This Row],[Age]]&gt;=60,"Senior Citizen",IF(AND(Table1[[#This Row],[Age]]&gt;=18,Table1[[#This Row],[Age]]&lt;60),"Adult",IF(Table1[[#This Row],[Age]]&lt;18,"Child")))</f>
        <v>Senior Citizen</v>
      </c>
      <c r="L377" s="19"/>
    </row>
    <row r="378" spans="1:12" x14ac:dyDescent="0.25">
      <c r="A378" s="11" t="s">
        <v>403</v>
      </c>
      <c r="B378" s="11" t="s">
        <v>34</v>
      </c>
      <c r="C378" s="11" t="s">
        <v>23</v>
      </c>
      <c r="D378" s="11" t="s">
        <v>24</v>
      </c>
      <c r="E378" s="11" t="s">
        <v>17</v>
      </c>
      <c r="F378" s="11">
        <v>26</v>
      </c>
      <c r="G378" s="11">
        <v>48180.63</v>
      </c>
      <c r="H378" s="11">
        <v>22</v>
      </c>
      <c r="I378" s="12">
        <v>51</v>
      </c>
      <c r="J378" s="15" t="str">
        <f>IF(Table1[[#This Row],[Treatment Cost]]&gt;75000,"HIGH COST","LOW COST")</f>
        <v>LOW COST</v>
      </c>
      <c r="K378" s="15" t="str">
        <f>IF(Table1[[#This Row],[Age]]&gt;=60,"Senior Citizen",IF(AND(Table1[[#This Row],[Age]]&gt;=18,Table1[[#This Row],[Age]]&lt;60),"Adult",IF(Table1[[#This Row],[Age]]&lt;18,"Child")))</f>
        <v>Adult</v>
      </c>
      <c r="L378" s="19"/>
    </row>
    <row r="379" spans="1:12" x14ac:dyDescent="0.25">
      <c r="A379" s="11" t="s">
        <v>404</v>
      </c>
      <c r="B379" s="11" t="s">
        <v>34</v>
      </c>
      <c r="C379" s="11" t="s">
        <v>11</v>
      </c>
      <c r="D379" s="11" t="s">
        <v>21</v>
      </c>
      <c r="E379" s="11" t="s">
        <v>17</v>
      </c>
      <c r="F379" s="11">
        <v>73</v>
      </c>
      <c r="G379" s="11">
        <v>120973.32</v>
      </c>
      <c r="H379" s="11">
        <v>5</v>
      </c>
      <c r="I379" s="12">
        <v>71</v>
      </c>
      <c r="J379" s="15" t="str">
        <f>IF(Table1[[#This Row],[Treatment Cost]]&gt;75000,"HIGH COST","LOW COST")</f>
        <v>HIGH COST</v>
      </c>
      <c r="K379" s="15" t="str">
        <f>IF(Table1[[#This Row],[Age]]&gt;=60,"Senior Citizen",IF(AND(Table1[[#This Row],[Age]]&gt;=18,Table1[[#This Row],[Age]]&lt;60),"Adult",IF(Table1[[#This Row],[Age]]&lt;18,"Child")))</f>
        <v>Senior Citizen</v>
      </c>
      <c r="L379" s="19"/>
    </row>
    <row r="380" spans="1:12" x14ac:dyDescent="0.25">
      <c r="A380" s="11" t="s">
        <v>405</v>
      </c>
      <c r="B380" s="11" t="s">
        <v>36</v>
      </c>
      <c r="C380" s="11" t="s">
        <v>40</v>
      </c>
      <c r="D380" s="11" t="s">
        <v>16</v>
      </c>
      <c r="E380" s="11" t="s">
        <v>17</v>
      </c>
      <c r="F380" s="11">
        <v>52</v>
      </c>
      <c r="G380" s="11">
        <v>73521.710000000006</v>
      </c>
      <c r="H380" s="11">
        <v>22</v>
      </c>
      <c r="I380" s="12">
        <v>76</v>
      </c>
      <c r="J380" s="15" t="str">
        <f>IF(Table1[[#This Row],[Treatment Cost]]&gt;75000,"HIGH COST","LOW COST")</f>
        <v>LOW COST</v>
      </c>
      <c r="K380" s="15" t="str">
        <f>IF(Table1[[#This Row],[Age]]&gt;=60,"Senior Citizen",IF(AND(Table1[[#This Row],[Age]]&gt;=18,Table1[[#This Row],[Age]]&lt;60),"Adult",IF(Table1[[#This Row],[Age]]&lt;18,"Child")))</f>
        <v>Adult</v>
      </c>
      <c r="L380" s="19"/>
    </row>
    <row r="381" spans="1:12" x14ac:dyDescent="0.25">
      <c r="A381" s="11" t="s">
        <v>406</v>
      </c>
      <c r="B381" s="11" t="s">
        <v>34</v>
      </c>
      <c r="C381" s="11" t="s">
        <v>20</v>
      </c>
      <c r="D381" s="11" t="s">
        <v>24</v>
      </c>
      <c r="E381" s="11" t="s">
        <v>13</v>
      </c>
      <c r="F381" s="11">
        <v>89</v>
      </c>
      <c r="G381" s="11">
        <v>198453.72</v>
      </c>
      <c r="H381" s="11">
        <v>19</v>
      </c>
      <c r="I381" s="12">
        <v>75</v>
      </c>
      <c r="J381" s="15" t="str">
        <f>IF(Table1[[#This Row],[Treatment Cost]]&gt;75000,"HIGH COST","LOW COST")</f>
        <v>HIGH COST</v>
      </c>
      <c r="K381" s="15" t="str">
        <f>IF(Table1[[#This Row],[Age]]&gt;=60,"Senior Citizen",IF(AND(Table1[[#This Row],[Age]]&gt;=18,Table1[[#This Row],[Age]]&lt;60),"Adult",IF(Table1[[#This Row],[Age]]&lt;18,"Child")))</f>
        <v>Senior Citizen</v>
      </c>
      <c r="L381" s="19"/>
    </row>
    <row r="382" spans="1:12" x14ac:dyDescent="0.25">
      <c r="A382" s="11" t="s">
        <v>407</v>
      </c>
      <c r="B382" s="11" t="s">
        <v>34</v>
      </c>
      <c r="C382" s="11" t="s">
        <v>40</v>
      </c>
      <c r="D382" s="11" t="s">
        <v>12</v>
      </c>
      <c r="E382" s="11" t="s">
        <v>29</v>
      </c>
      <c r="F382" s="11">
        <v>7</v>
      </c>
      <c r="G382" s="11">
        <v>34296.07</v>
      </c>
      <c r="H382" s="11">
        <v>25</v>
      </c>
      <c r="I382" s="12">
        <v>60</v>
      </c>
      <c r="J382" s="15" t="str">
        <f>IF(Table1[[#This Row],[Treatment Cost]]&gt;75000,"HIGH COST","LOW COST")</f>
        <v>LOW COST</v>
      </c>
      <c r="K382" s="15" t="str">
        <f>IF(Table1[[#This Row],[Age]]&gt;=60,"Senior Citizen",IF(AND(Table1[[#This Row],[Age]]&gt;=18,Table1[[#This Row],[Age]]&lt;60),"Adult",IF(Table1[[#This Row],[Age]]&lt;18,"Child")))</f>
        <v>Child</v>
      </c>
      <c r="L382" s="19"/>
    </row>
    <row r="383" spans="1:12" x14ac:dyDescent="0.25">
      <c r="A383" s="11" t="s">
        <v>408</v>
      </c>
      <c r="B383" s="11" t="s">
        <v>31</v>
      </c>
      <c r="C383" s="11" t="s">
        <v>11</v>
      </c>
      <c r="D383" s="11" t="s">
        <v>24</v>
      </c>
      <c r="E383" s="11" t="s">
        <v>13</v>
      </c>
      <c r="F383" s="11">
        <v>4</v>
      </c>
      <c r="G383" s="11">
        <v>166442.22</v>
      </c>
      <c r="H383" s="11">
        <v>28</v>
      </c>
      <c r="I383" s="12">
        <v>80</v>
      </c>
      <c r="J383" s="15" t="str">
        <f>IF(Table1[[#This Row],[Treatment Cost]]&gt;75000,"HIGH COST","LOW COST")</f>
        <v>HIGH COST</v>
      </c>
      <c r="K383" s="15" t="str">
        <f>IF(Table1[[#This Row],[Age]]&gt;=60,"Senior Citizen",IF(AND(Table1[[#This Row],[Age]]&gt;=18,Table1[[#This Row],[Age]]&lt;60),"Adult",IF(Table1[[#This Row],[Age]]&lt;18,"Child")))</f>
        <v>Child</v>
      </c>
      <c r="L383" s="19"/>
    </row>
    <row r="384" spans="1:12" x14ac:dyDescent="0.25">
      <c r="A384" s="11" t="s">
        <v>409</v>
      </c>
      <c r="B384" s="11" t="s">
        <v>10</v>
      </c>
      <c r="C384" s="11" t="s">
        <v>40</v>
      </c>
      <c r="D384" s="11" t="s">
        <v>21</v>
      </c>
      <c r="E384" s="11" t="s">
        <v>29</v>
      </c>
      <c r="F384" s="11">
        <v>23</v>
      </c>
      <c r="G384" s="11">
        <v>42080.7</v>
      </c>
      <c r="H384" s="11">
        <v>26</v>
      </c>
      <c r="I384" s="12">
        <v>100</v>
      </c>
      <c r="J384" s="15" t="str">
        <f>IF(Table1[[#This Row],[Treatment Cost]]&gt;75000,"HIGH COST","LOW COST")</f>
        <v>LOW COST</v>
      </c>
      <c r="K384" s="15" t="str">
        <f>IF(Table1[[#This Row],[Age]]&gt;=60,"Senior Citizen",IF(AND(Table1[[#This Row],[Age]]&gt;=18,Table1[[#This Row],[Age]]&lt;60),"Adult",IF(Table1[[#This Row],[Age]]&lt;18,"Child")))</f>
        <v>Adult</v>
      </c>
      <c r="L384" s="19"/>
    </row>
    <row r="385" spans="1:12" x14ac:dyDescent="0.25">
      <c r="A385" s="11" t="s">
        <v>410</v>
      </c>
      <c r="B385" s="11" t="s">
        <v>19</v>
      </c>
      <c r="C385" s="11" t="s">
        <v>40</v>
      </c>
      <c r="D385" s="11" t="s">
        <v>26</v>
      </c>
      <c r="E385" s="11" t="s">
        <v>13</v>
      </c>
      <c r="F385" s="11">
        <v>85</v>
      </c>
      <c r="G385" s="11">
        <v>39271.31</v>
      </c>
      <c r="H385" s="11">
        <v>22</v>
      </c>
      <c r="I385" s="12">
        <v>44</v>
      </c>
      <c r="J385" s="15" t="str">
        <f>IF(Table1[[#This Row],[Treatment Cost]]&gt;75000,"HIGH COST","LOW COST")</f>
        <v>LOW COST</v>
      </c>
      <c r="K385" s="15" t="str">
        <f>IF(Table1[[#This Row],[Age]]&gt;=60,"Senior Citizen",IF(AND(Table1[[#This Row],[Age]]&gt;=18,Table1[[#This Row],[Age]]&lt;60),"Adult",IF(Table1[[#This Row],[Age]]&lt;18,"Child")))</f>
        <v>Senior Citizen</v>
      </c>
      <c r="L385" s="19"/>
    </row>
    <row r="386" spans="1:12" x14ac:dyDescent="0.25">
      <c r="A386" s="11" t="s">
        <v>411</v>
      </c>
      <c r="B386" s="11" t="s">
        <v>10</v>
      </c>
      <c r="C386" s="11" t="s">
        <v>23</v>
      </c>
      <c r="D386" s="11" t="s">
        <v>21</v>
      </c>
      <c r="E386" s="11" t="s">
        <v>13</v>
      </c>
      <c r="F386" s="11">
        <v>78</v>
      </c>
      <c r="G386" s="11">
        <v>188237.03</v>
      </c>
      <c r="H386" s="11">
        <v>27</v>
      </c>
      <c r="I386" s="12">
        <v>43</v>
      </c>
      <c r="J386" s="15" t="str">
        <f>IF(Table1[[#This Row],[Treatment Cost]]&gt;75000,"HIGH COST","LOW COST")</f>
        <v>HIGH COST</v>
      </c>
      <c r="K386" s="15" t="str">
        <f>IF(Table1[[#This Row],[Age]]&gt;=60,"Senior Citizen",IF(AND(Table1[[#This Row],[Age]]&gt;=18,Table1[[#This Row],[Age]]&lt;60),"Adult",IF(Table1[[#This Row],[Age]]&lt;18,"Child")))</f>
        <v>Senior Citizen</v>
      </c>
      <c r="L386" s="19"/>
    </row>
    <row r="387" spans="1:12" x14ac:dyDescent="0.25">
      <c r="A387" s="11" t="s">
        <v>412</v>
      </c>
      <c r="B387" s="11" t="s">
        <v>36</v>
      </c>
      <c r="C387" s="11" t="s">
        <v>40</v>
      </c>
      <c r="D387" s="11" t="s">
        <v>16</v>
      </c>
      <c r="E387" s="11" t="s">
        <v>17</v>
      </c>
      <c r="F387" s="11">
        <v>57</v>
      </c>
      <c r="G387" s="11">
        <v>88936.77</v>
      </c>
      <c r="H387" s="11">
        <v>25</v>
      </c>
      <c r="I387" s="12">
        <v>100</v>
      </c>
      <c r="J387" s="15" t="str">
        <f>IF(Table1[[#This Row],[Treatment Cost]]&gt;75000,"HIGH COST","LOW COST")</f>
        <v>HIGH COST</v>
      </c>
      <c r="K387" s="15" t="str">
        <f>IF(Table1[[#This Row],[Age]]&gt;=60,"Senior Citizen",IF(AND(Table1[[#This Row],[Age]]&gt;=18,Table1[[#This Row],[Age]]&lt;60),"Adult",IF(Table1[[#This Row],[Age]]&lt;18,"Child")))</f>
        <v>Adult</v>
      </c>
      <c r="L387" s="19"/>
    </row>
    <row r="388" spans="1:12" x14ac:dyDescent="0.25">
      <c r="A388" s="11" t="s">
        <v>413</v>
      </c>
      <c r="B388" s="11" t="s">
        <v>31</v>
      </c>
      <c r="C388" s="11" t="s">
        <v>20</v>
      </c>
      <c r="D388" s="11" t="s">
        <v>16</v>
      </c>
      <c r="E388" s="11" t="s">
        <v>13</v>
      </c>
      <c r="F388" s="11">
        <v>62</v>
      </c>
      <c r="G388" s="11">
        <v>55708.89</v>
      </c>
      <c r="H388" s="11">
        <v>13</v>
      </c>
      <c r="I388" s="12">
        <v>40</v>
      </c>
      <c r="J388" s="15" t="str">
        <f>IF(Table1[[#This Row],[Treatment Cost]]&gt;75000,"HIGH COST","LOW COST")</f>
        <v>LOW COST</v>
      </c>
      <c r="K388" s="15" t="str">
        <f>IF(Table1[[#This Row],[Age]]&gt;=60,"Senior Citizen",IF(AND(Table1[[#This Row],[Age]]&gt;=18,Table1[[#This Row],[Age]]&lt;60),"Adult",IF(Table1[[#This Row],[Age]]&lt;18,"Child")))</f>
        <v>Senior Citizen</v>
      </c>
      <c r="L388" s="19"/>
    </row>
    <row r="389" spans="1:12" x14ac:dyDescent="0.25">
      <c r="A389" s="11" t="s">
        <v>414</v>
      </c>
      <c r="B389" s="11" t="s">
        <v>19</v>
      </c>
      <c r="C389" s="11" t="s">
        <v>11</v>
      </c>
      <c r="D389" s="11" t="s">
        <v>21</v>
      </c>
      <c r="E389" s="11" t="s">
        <v>29</v>
      </c>
      <c r="F389" s="11">
        <v>26</v>
      </c>
      <c r="G389" s="11">
        <v>43711.41</v>
      </c>
      <c r="H389" s="11">
        <v>30</v>
      </c>
      <c r="I389" s="12">
        <v>99</v>
      </c>
      <c r="J389" s="15" t="str">
        <f>IF(Table1[[#This Row],[Treatment Cost]]&gt;75000,"HIGH COST","LOW COST")</f>
        <v>LOW COST</v>
      </c>
      <c r="K389" s="15" t="str">
        <f>IF(Table1[[#This Row],[Age]]&gt;=60,"Senior Citizen",IF(AND(Table1[[#This Row],[Age]]&gt;=18,Table1[[#This Row],[Age]]&lt;60),"Adult",IF(Table1[[#This Row],[Age]]&lt;18,"Child")))</f>
        <v>Adult</v>
      </c>
      <c r="L389" s="19"/>
    </row>
    <row r="390" spans="1:12" x14ac:dyDescent="0.25">
      <c r="A390" s="11" t="s">
        <v>415</v>
      </c>
      <c r="B390" s="11" t="s">
        <v>31</v>
      </c>
      <c r="C390" s="11" t="s">
        <v>40</v>
      </c>
      <c r="D390" s="11" t="s">
        <v>26</v>
      </c>
      <c r="E390" s="11" t="s">
        <v>29</v>
      </c>
      <c r="F390" s="11">
        <v>60</v>
      </c>
      <c r="G390" s="11">
        <v>62271.77</v>
      </c>
      <c r="H390" s="11">
        <v>17</v>
      </c>
      <c r="I390" s="12">
        <v>84</v>
      </c>
      <c r="J390" s="15" t="str">
        <f>IF(Table1[[#This Row],[Treatment Cost]]&gt;75000,"HIGH COST","LOW COST")</f>
        <v>LOW COST</v>
      </c>
      <c r="K390" s="15" t="str">
        <f>IF(Table1[[#This Row],[Age]]&gt;=60,"Senior Citizen",IF(AND(Table1[[#This Row],[Age]]&gt;=18,Table1[[#This Row],[Age]]&lt;60),"Adult",IF(Table1[[#This Row],[Age]]&lt;18,"Child")))</f>
        <v>Senior Citizen</v>
      </c>
      <c r="L390" s="19"/>
    </row>
    <row r="391" spans="1:12" x14ac:dyDescent="0.25">
      <c r="A391" s="11" t="s">
        <v>416</v>
      </c>
      <c r="B391" s="11" t="s">
        <v>15</v>
      </c>
      <c r="C391" s="11" t="s">
        <v>23</v>
      </c>
      <c r="D391" s="11" t="s">
        <v>16</v>
      </c>
      <c r="E391" s="11" t="s">
        <v>29</v>
      </c>
      <c r="F391" s="11">
        <v>12</v>
      </c>
      <c r="G391" s="11">
        <v>124240.43</v>
      </c>
      <c r="H391" s="11">
        <v>21</v>
      </c>
      <c r="I391" s="12">
        <v>83</v>
      </c>
      <c r="J391" s="15" t="str">
        <f>IF(Table1[[#This Row],[Treatment Cost]]&gt;75000,"HIGH COST","LOW COST")</f>
        <v>HIGH COST</v>
      </c>
      <c r="K391" s="15" t="str">
        <f>IF(Table1[[#This Row],[Age]]&gt;=60,"Senior Citizen",IF(AND(Table1[[#This Row],[Age]]&gt;=18,Table1[[#This Row],[Age]]&lt;60),"Adult",IF(Table1[[#This Row],[Age]]&lt;18,"Child")))</f>
        <v>Child</v>
      </c>
      <c r="L391" s="19"/>
    </row>
    <row r="392" spans="1:12" x14ac:dyDescent="0.25">
      <c r="A392" s="11" t="s">
        <v>417</v>
      </c>
      <c r="B392" s="11" t="s">
        <v>15</v>
      </c>
      <c r="C392" s="11" t="s">
        <v>23</v>
      </c>
      <c r="D392" s="11" t="s">
        <v>26</v>
      </c>
      <c r="E392" s="11" t="s">
        <v>17</v>
      </c>
      <c r="F392" s="11">
        <v>3</v>
      </c>
      <c r="G392" s="11">
        <v>61634.04</v>
      </c>
      <c r="H392" s="11">
        <v>2</v>
      </c>
      <c r="I392" s="12">
        <v>86</v>
      </c>
      <c r="J392" s="15" t="str">
        <f>IF(Table1[[#This Row],[Treatment Cost]]&gt;75000,"HIGH COST","LOW COST")</f>
        <v>LOW COST</v>
      </c>
      <c r="K392" s="15" t="str">
        <f>IF(Table1[[#This Row],[Age]]&gt;=60,"Senior Citizen",IF(AND(Table1[[#This Row],[Age]]&gt;=18,Table1[[#This Row],[Age]]&lt;60),"Adult",IF(Table1[[#This Row],[Age]]&lt;18,"Child")))</f>
        <v>Child</v>
      </c>
      <c r="L392" s="19"/>
    </row>
    <row r="393" spans="1:12" x14ac:dyDescent="0.25">
      <c r="A393" s="11" t="s">
        <v>418</v>
      </c>
      <c r="B393" s="11" t="s">
        <v>31</v>
      </c>
      <c r="C393" s="11" t="s">
        <v>40</v>
      </c>
      <c r="D393" s="11" t="s">
        <v>21</v>
      </c>
      <c r="E393" s="11" t="s">
        <v>29</v>
      </c>
      <c r="F393" s="11">
        <v>87</v>
      </c>
      <c r="G393" s="11">
        <v>145458.72</v>
      </c>
      <c r="H393" s="11">
        <v>24</v>
      </c>
      <c r="I393" s="12">
        <v>91</v>
      </c>
      <c r="J393" s="15" t="str">
        <f>IF(Table1[[#This Row],[Treatment Cost]]&gt;75000,"HIGH COST","LOW COST")</f>
        <v>HIGH COST</v>
      </c>
      <c r="K393" s="15" t="str">
        <f>IF(Table1[[#This Row],[Age]]&gt;=60,"Senior Citizen",IF(AND(Table1[[#This Row],[Age]]&gt;=18,Table1[[#This Row],[Age]]&lt;60),"Adult",IF(Table1[[#This Row],[Age]]&lt;18,"Child")))</f>
        <v>Senior Citizen</v>
      </c>
      <c r="L393" s="19"/>
    </row>
    <row r="394" spans="1:12" x14ac:dyDescent="0.25">
      <c r="A394" s="11" t="s">
        <v>419</v>
      </c>
      <c r="B394" s="11" t="s">
        <v>19</v>
      </c>
      <c r="C394" s="11" t="s">
        <v>20</v>
      </c>
      <c r="D394" s="11" t="s">
        <v>26</v>
      </c>
      <c r="E394" s="11" t="s">
        <v>13</v>
      </c>
      <c r="F394" s="11">
        <v>1</v>
      </c>
      <c r="G394" s="11">
        <v>155164.76</v>
      </c>
      <c r="H394" s="11">
        <v>15</v>
      </c>
      <c r="I394" s="12">
        <v>59</v>
      </c>
      <c r="J394" s="15" t="str">
        <f>IF(Table1[[#This Row],[Treatment Cost]]&gt;75000,"HIGH COST","LOW COST")</f>
        <v>HIGH COST</v>
      </c>
      <c r="K394" s="15" t="str">
        <f>IF(Table1[[#This Row],[Age]]&gt;=60,"Senior Citizen",IF(AND(Table1[[#This Row],[Age]]&gt;=18,Table1[[#This Row],[Age]]&lt;60),"Adult",IF(Table1[[#This Row],[Age]]&lt;18,"Child")))</f>
        <v>Child</v>
      </c>
      <c r="L394" s="19"/>
    </row>
    <row r="395" spans="1:12" x14ac:dyDescent="0.25">
      <c r="A395" s="11" t="s">
        <v>420</v>
      </c>
      <c r="B395" s="11" t="s">
        <v>31</v>
      </c>
      <c r="C395" s="11" t="s">
        <v>23</v>
      </c>
      <c r="D395" s="11" t="s">
        <v>12</v>
      </c>
      <c r="E395" s="11" t="s">
        <v>17</v>
      </c>
      <c r="F395" s="11">
        <v>54</v>
      </c>
      <c r="G395" s="11">
        <v>175317.6</v>
      </c>
      <c r="H395" s="11">
        <v>29</v>
      </c>
      <c r="I395" s="12">
        <v>49</v>
      </c>
      <c r="J395" s="15" t="str">
        <f>IF(Table1[[#This Row],[Treatment Cost]]&gt;75000,"HIGH COST","LOW COST")</f>
        <v>HIGH COST</v>
      </c>
      <c r="K395" s="15" t="str">
        <f>IF(Table1[[#This Row],[Age]]&gt;=60,"Senior Citizen",IF(AND(Table1[[#This Row],[Age]]&gt;=18,Table1[[#This Row],[Age]]&lt;60),"Adult",IF(Table1[[#This Row],[Age]]&lt;18,"Child")))</f>
        <v>Adult</v>
      </c>
      <c r="L395" s="19"/>
    </row>
    <row r="396" spans="1:12" x14ac:dyDescent="0.25">
      <c r="A396" s="11" t="s">
        <v>421</v>
      </c>
      <c r="B396" s="11" t="s">
        <v>31</v>
      </c>
      <c r="C396" s="11" t="s">
        <v>40</v>
      </c>
      <c r="D396" s="11" t="s">
        <v>24</v>
      </c>
      <c r="E396" s="11" t="s">
        <v>29</v>
      </c>
      <c r="F396" s="11">
        <v>51</v>
      </c>
      <c r="G396" s="11">
        <v>82118.69</v>
      </c>
      <c r="H396" s="11">
        <v>12</v>
      </c>
      <c r="I396" s="12">
        <v>58</v>
      </c>
      <c r="J396" s="15" t="str">
        <f>IF(Table1[[#This Row],[Treatment Cost]]&gt;75000,"HIGH COST","LOW COST")</f>
        <v>HIGH COST</v>
      </c>
      <c r="K396" s="15" t="str">
        <f>IF(Table1[[#This Row],[Age]]&gt;=60,"Senior Citizen",IF(AND(Table1[[#This Row],[Age]]&gt;=18,Table1[[#This Row],[Age]]&lt;60),"Adult",IF(Table1[[#This Row],[Age]]&lt;18,"Child")))</f>
        <v>Adult</v>
      </c>
      <c r="L396" s="19"/>
    </row>
    <row r="397" spans="1:12" x14ac:dyDescent="0.25">
      <c r="A397" s="11" t="s">
        <v>422</v>
      </c>
      <c r="B397" s="11" t="s">
        <v>15</v>
      </c>
      <c r="C397" s="11" t="s">
        <v>20</v>
      </c>
      <c r="D397" s="11" t="s">
        <v>21</v>
      </c>
      <c r="E397" s="11" t="s">
        <v>29</v>
      </c>
      <c r="F397" s="11">
        <v>85</v>
      </c>
      <c r="G397" s="11">
        <v>8355</v>
      </c>
      <c r="H397" s="11">
        <v>7</v>
      </c>
      <c r="I397" s="12">
        <v>53</v>
      </c>
      <c r="J397" s="15" t="str">
        <f>IF(Table1[[#This Row],[Treatment Cost]]&gt;75000,"HIGH COST","LOW COST")</f>
        <v>LOW COST</v>
      </c>
      <c r="K397" s="15" t="str">
        <f>IF(Table1[[#This Row],[Age]]&gt;=60,"Senior Citizen",IF(AND(Table1[[#This Row],[Age]]&gt;=18,Table1[[#This Row],[Age]]&lt;60),"Adult",IF(Table1[[#This Row],[Age]]&lt;18,"Child")))</f>
        <v>Senior Citizen</v>
      </c>
      <c r="L397" s="19"/>
    </row>
    <row r="398" spans="1:12" x14ac:dyDescent="0.25">
      <c r="A398" s="11" t="s">
        <v>423</v>
      </c>
      <c r="B398" s="11" t="s">
        <v>19</v>
      </c>
      <c r="C398" s="11" t="s">
        <v>11</v>
      </c>
      <c r="D398" s="11" t="s">
        <v>24</v>
      </c>
      <c r="E398" s="11" t="s">
        <v>29</v>
      </c>
      <c r="F398" s="11">
        <v>13</v>
      </c>
      <c r="G398" s="11">
        <v>172646.27</v>
      </c>
      <c r="H398" s="11">
        <v>15</v>
      </c>
      <c r="I398" s="12">
        <v>71</v>
      </c>
      <c r="J398" s="15" t="str">
        <f>IF(Table1[[#This Row],[Treatment Cost]]&gt;75000,"HIGH COST","LOW COST")</f>
        <v>HIGH COST</v>
      </c>
      <c r="K398" s="15" t="str">
        <f>IF(Table1[[#This Row],[Age]]&gt;=60,"Senior Citizen",IF(AND(Table1[[#This Row],[Age]]&gt;=18,Table1[[#This Row],[Age]]&lt;60),"Adult",IF(Table1[[#This Row],[Age]]&lt;18,"Child")))</f>
        <v>Child</v>
      </c>
      <c r="L398" s="19"/>
    </row>
    <row r="399" spans="1:12" x14ac:dyDescent="0.25">
      <c r="A399" s="11" t="s">
        <v>424</v>
      </c>
      <c r="B399" s="11" t="s">
        <v>34</v>
      </c>
      <c r="C399" s="11" t="s">
        <v>40</v>
      </c>
      <c r="D399" s="11" t="s">
        <v>16</v>
      </c>
      <c r="E399" s="11" t="s">
        <v>17</v>
      </c>
      <c r="F399" s="11">
        <v>63</v>
      </c>
      <c r="G399" s="11">
        <v>126276.63</v>
      </c>
      <c r="H399" s="11">
        <v>24</v>
      </c>
      <c r="I399" s="12">
        <v>74</v>
      </c>
      <c r="J399" s="15" t="str">
        <f>IF(Table1[[#This Row],[Treatment Cost]]&gt;75000,"HIGH COST","LOW COST")</f>
        <v>HIGH COST</v>
      </c>
      <c r="K399" s="15" t="str">
        <f>IF(Table1[[#This Row],[Age]]&gt;=60,"Senior Citizen",IF(AND(Table1[[#This Row],[Age]]&gt;=18,Table1[[#This Row],[Age]]&lt;60),"Adult",IF(Table1[[#This Row],[Age]]&lt;18,"Child")))</f>
        <v>Senior Citizen</v>
      </c>
      <c r="L399" s="19"/>
    </row>
    <row r="400" spans="1:12" x14ac:dyDescent="0.25">
      <c r="A400" s="11" t="s">
        <v>425</v>
      </c>
      <c r="B400" s="11" t="s">
        <v>19</v>
      </c>
      <c r="C400" s="11" t="s">
        <v>11</v>
      </c>
      <c r="D400" s="11" t="s">
        <v>16</v>
      </c>
      <c r="E400" s="11" t="s">
        <v>17</v>
      </c>
      <c r="F400" s="11">
        <v>13</v>
      </c>
      <c r="G400" s="11">
        <v>188986.13</v>
      </c>
      <c r="H400" s="11">
        <v>8</v>
      </c>
      <c r="I400" s="12">
        <v>77</v>
      </c>
      <c r="J400" s="15" t="str">
        <f>IF(Table1[[#This Row],[Treatment Cost]]&gt;75000,"HIGH COST","LOW COST")</f>
        <v>HIGH COST</v>
      </c>
      <c r="K400" s="15" t="str">
        <f>IF(Table1[[#This Row],[Age]]&gt;=60,"Senior Citizen",IF(AND(Table1[[#This Row],[Age]]&gt;=18,Table1[[#This Row],[Age]]&lt;60),"Adult",IF(Table1[[#This Row],[Age]]&lt;18,"Child")))</f>
        <v>Child</v>
      </c>
      <c r="L400" s="19"/>
    </row>
    <row r="401" spans="1:12" x14ac:dyDescent="0.25">
      <c r="A401" s="11" t="s">
        <v>426</v>
      </c>
      <c r="B401" s="11" t="s">
        <v>15</v>
      </c>
      <c r="C401" s="11" t="s">
        <v>20</v>
      </c>
      <c r="D401" s="11" t="s">
        <v>24</v>
      </c>
      <c r="E401" s="11" t="s">
        <v>17</v>
      </c>
      <c r="F401" s="11">
        <v>32</v>
      </c>
      <c r="G401" s="11">
        <v>141006.32999999999</v>
      </c>
      <c r="H401" s="11">
        <v>1</v>
      </c>
      <c r="I401" s="12">
        <v>68</v>
      </c>
      <c r="J401" s="15" t="str">
        <f>IF(Table1[[#This Row],[Treatment Cost]]&gt;75000,"HIGH COST","LOW COST")</f>
        <v>HIGH COST</v>
      </c>
      <c r="K401" s="15" t="str">
        <f>IF(Table1[[#This Row],[Age]]&gt;=60,"Senior Citizen",IF(AND(Table1[[#This Row],[Age]]&gt;=18,Table1[[#This Row],[Age]]&lt;60),"Adult",IF(Table1[[#This Row],[Age]]&lt;18,"Child")))</f>
        <v>Adult</v>
      </c>
      <c r="L401" s="19"/>
    </row>
    <row r="402" spans="1:12" x14ac:dyDescent="0.25">
      <c r="A402" s="11" t="s">
        <v>427</v>
      </c>
      <c r="B402" s="11" t="s">
        <v>15</v>
      </c>
      <c r="C402" s="11" t="s">
        <v>20</v>
      </c>
      <c r="D402" s="11" t="s">
        <v>24</v>
      </c>
      <c r="E402" s="11" t="s">
        <v>29</v>
      </c>
      <c r="F402" s="11">
        <v>36</v>
      </c>
      <c r="G402" s="11">
        <v>13218.82</v>
      </c>
      <c r="H402" s="11">
        <v>2</v>
      </c>
      <c r="I402" s="12">
        <v>46</v>
      </c>
      <c r="J402" s="15" t="str">
        <f>IF(Table1[[#This Row],[Treatment Cost]]&gt;75000,"HIGH COST","LOW COST")</f>
        <v>LOW COST</v>
      </c>
      <c r="K402" s="15" t="str">
        <f>IF(Table1[[#This Row],[Age]]&gt;=60,"Senior Citizen",IF(AND(Table1[[#This Row],[Age]]&gt;=18,Table1[[#This Row],[Age]]&lt;60),"Adult",IF(Table1[[#This Row],[Age]]&lt;18,"Child")))</f>
        <v>Adult</v>
      </c>
      <c r="L402" s="19"/>
    </row>
    <row r="403" spans="1:12" x14ac:dyDescent="0.25">
      <c r="A403" s="11" t="s">
        <v>428</v>
      </c>
      <c r="B403" s="11" t="s">
        <v>10</v>
      </c>
      <c r="C403" s="11" t="s">
        <v>20</v>
      </c>
      <c r="D403" s="11" t="s">
        <v>21</v>
      </c>
      <c r="E403" s="11" t="s">
        <v>29</v>
      </c>
      <c r="F403" s="11">
        <v>65</v>
      </c>
      <c r="G403" s="11">
        <v>67820.899999999994</v>
      </c>
      <c r="H403" s="11">
        <v>4</v>
      </c>
      <c r="I403" s="12">
        <v>75</v>
      </c>
      <c r="J403" s="15" t="str">
        <f>IF(Table1[[#This Row],[Treatment Cost]]&gt;75000,"HIGH COST","LOW COST")</f>
        <v>LOW COST</v>
      </c>
      <c r="K403" s="15" t="str">
        <f>IF(Table1[[#This Row],[Age]]&gt;=60,"Senior Citizen",IF(AND(Table1[[#This Row],[Age]]&gt;=18,Table1[[#This Row],[Age]]&lt;60),"Adult",IF(Table1[[#This Row],[Age]]&lt;18,"Child")))</f>
        <v>Senior Citizen</v>
      </c>
      <c r="L403" s="19"/>
    </row>
    <row r="404" spans="1:12" x14ac:dyDescent="0.25">
      <c r="A404" s="11" t="s">
        <v>429</v>
      </c>
      <c r="B404" s="11" t="s">
        <v>10</v>
      </c>
      <c r="C404" s="11" t="s">
        <v>40</v>
      </c>
      <c r="D404" s="11" t="s">
        <v>21</v>
      </c>
      <c r="E404" s="11" t="s">
        <v>13</v>
      </c>
      <c r="F404" s="11">
        <v>25</v>
      </c>
      <c r="G404" s="11">
        <v>41931.949999999997</v>
      </c>
      <c r="H404" s="11">
        <v>3</v>
      </c>
      <c r="I404" s="12">
        <v>45</v>
      </c>
      <c r="J404" s="15" t="str">
        <f>IF(Table1[[#This Row],[Treatment Cost]]&gt;75000,"HIGH COST","LOW COST")</f>
        <v>LOW COST</v>
      </c>
      <c r="K404" s="15" t="str">
        <f>IF(Table1[[#This Row],[Age]]&gt;=60,"Senior Citizen",IF(AND(Table1[[#This Row],[Age]]&gt;=18,Table1[[#This Row],[Age]]&lt;60),"Adult",IF(Table1[[#This Row],[Age]]&lt;18,"Child")))</f>
        <v>Adult</v>
      </c>
      <c r="L404" s="19"/>
    </row>
    <row r="405" spans="1:12" x14ac:dyDescent="0.25">
      <c r="A405" s="11" t="s">
        <v>430</v>
      </c>
      <c r="B405" s="11" t="s">
        <v>31</v>
      </c>
      <c r="C405" s="11" t="s">
        <v>11</v>
      </c>
      <c r="D405" s="11" t="s">
        <v>24</v>
      </c>
      <c r="E405" s="11" t="s">
        <v>29</v>
      </c>
      <c r="F405" s="11">
        <v>2</v>
      </c>
      <c r="G405" s="11">
        <v>137097.98000000001</v>
      </c>
      <c r="H405" s="11">
        <v>18</v>
      </c>
      <c r="I405" s="12">
        <v>56</v>
      </c>
      <c r="J405" s="15" t="str">
        <f>IF(Table1[[#This Row],[Treatment Cost]]&gt;75000,"HIGH COST","LOW COST")</f>
        <v>HIGH COST</v>
      </c>
      <c r="K405" s="15" t="str">
        <f>IF(Table1[[#This Row],[Age]]&gt;=60,"Senior Citizen",IF(AND(Table1[[#This Row],[Age]]&gt;=18,Table1[[#This Row],[Age]]&lt;60),"Adult",IF(Table1[[#This Row],[Age]]&lt;18,"Child")))</f>
        <v>Child</v>
      </c>
      <c r="L405" s="19"/>
    </row>
    <row r="406" spans="1:12" x14ac:dyDescent="0.25">
      <c r="A406" s="11" t="s">
        <v>431</v>
      </c>
      <c r="B406" s="11" t="s">
        <v>31</v>
      </c>
      <c r="C406" s="11" t="s">
        <v>40</v>
      </c>
      <c r="D406" s="11" t="s">
        <v>24</v>
      </c>
      <c r="E406" s="11" t="s">
        <v>13</v>
      </c>
      <c r="F406" s="11">
        <v>22</v>
      </c>
      <c r="G406" s="11">
        <v>111041.52</v>
      </c>
      <c r="H406" s="11">
        <v>24</v>
      </c>
      <c r="I406" s="12">
        <v>60</v>
      </c>
      <c r="J406" s="15" t="str">
        <f>IF(Table1[[#This Row],[Treatment Cost]]&gt;75000,"HIGH COST","LOW COST")</f>
        <v>HIGH COST</v>
      </c>
      <c r="K406" s="15" t="str">
        <f>IF(Table1[[#This Row],[Age]]&gt;=60,"Senior Citizen",IF(AND(Table1[[#This Row],[Age]]&gt;=18,Table1[[#This Row],[Age]]&lt;60),"Adult",IF(Table1[[#This Row],[Age]]&lt;18,"Child")))</f>
        <v>Adult</v>
      </c>
      <c r="L406" s="19"/>
    </row>
    <row r="407" spans="1:12" x14ac:dyDescent="0.25">
      <c r="A407" s="11" t="s">
        <v>432</v>
      </c>
      <c r="B407" s="11" t="s">
        <v>19</v>
      </c>
      <c r="C407" s="11" t="s">
        <v>23</v>
      </c>
      <c r="D407" s="11" t="s">
        <v>16</v>
      </c>
      <c r="E407" s="11" t="s">
        <v>13</v>
      </c>
      <c r="F407" s="11">
        <v>56</v>
      </c>
      <c r="G407" s="11">
        <v>49496.68</v>
      </c>
      <c r="H407" s="11">
        <v>4</v>
      </c>
      <c r="I407" s="12">
        <v>62</v>
      </c>
      <c r="J407" s="15" t="str">
        <f>IF(Table1[[#This Row],[Treatment Cost]]&gt;75000,"HIGH COST","LOW COST")</f>
        <v>LOW COST</v>
      </c>
      <c r="K407" s="15" t="str">
        <f>IF(Table1[[#This Row],[Age]]&gt;=60,"Senior Citizen",IF(AND(Table1[[#This Row],[Age]]&gt;=18,Table1[[#This Row],[Age]]&lt;60),"Adult",IF(Table1[[#This Row],[Age]]&lt;18,"Child")))</f>
        <v>Adult</v>
      </c>
      <c r="L407" s="19"/>
    </row>
    <row r="408" spans="1:12" x14ac:dyDescent="0.25">
      <c r="A408" s="11" t="s">
        <v>433</v>
      </c>
      <c r="B408" s="11" t="s">
        <v>10</v>
      </c>
      <c r="C408" s="11" t="s">
        <v>20</v>
      </c>
      <c r="D408" s="11" t="s">
        <v>12</v>
      </c>
      <c r="E408" s="11" t="s">
        <v>29</v>
      </c>
      <c r="F408" s="11">
        <v>82</v>
      </c>
      <c r="G408" s="11">
        <v>121318.92</v>
      </c>
      <c r="H408" s="11">
        <v>25</v>
      </c>
      <c r="I408" s="12">
        <v>44</v>
      </c>
      <c r="J408" s="15" t="str">
        <f>IF(Table1[[#This Row],[Treatment Cost]]&gt;75000,"HIGH COST","LOW COST")</f>
        <v>HIGH COST</v>
      </c>
      <c r="K408" s="15" t="str">
        <f>IF(Table1[[#This Row],[Age]]&gt;=60,"Senior Citizen",IF(AND(Table1[[#This Row],[Age]]&gt;=18,Table1[[#This Row],[Age]]&lt;60),"Adult",IF(Table1[[#This Row],[Age]]&lt;18,"Child")))</f>
        <v>Senior Citizen</v>
      </c>
      <c r="L408" s="19"/>
    </row>
    <row r="409" spans="1:12" x14ac:dyDescent="0.25">
      <c r="A409" s="11" t="s">
        <v>434</v>
      </c>
      <c r="B409" s="11" t="s">
        <v>36</v>
      </c>
      <c r="C409" s="11" t="s">
        <v>11</v>
      </c>
      <c r="D409" s="11" t="s">
        <v>24</v>
      </c>
      <c r="E409" s="11" t="s">
        <v>29</v>
      </c>
      <c r="F409" s="11">
        <v>39</v>
      </c>
      <c r="G409" s="11">
        <v>62344.86</v>
      </c>
      <c r="H409" s="11">
        <v>27</v>
      </c>
      <c r="I409" s="12">
        <v>91</v>
      </c>
      <c r="J409" s="15" t="str">
        <f>IF(Table1[[#This Row],[Treatment Cost]]&gt;75000,"HIGH COST","LOW COST")</f>
        <v>LOW COST</v>
      </c>
      <c r="K409" s="15" t="str">
        <f>IF(Table1[[#This Row],[Age]]&gt;=60,"Senior Citizen",IF(AND(Table1[[#This Row],[Age]]&gt;=18,Table1[[#This Row],[Age]]&lt;60),"Adult",IF(Table1[[#This Row],[Age]]&lt;18,"Child")))</f>
        <v>Adult</v>
      </c>
      <c r="L409" s="19"/>
    </row>
    <row r="410" spans="1:12" x14ac:dyDescent="0.25">
      <c r="A410" s="11" t="s">
        <v>435</v>
      </c>
      <c r="B410" s="11" t="s">
        <v>19</v>
      </c>
      <c r="C410" s="11" t="s">
        <v>40</v>
      </c>
      <c r="D410" s="11" t="s">
        <v>16</v>
      </c>
      <c r="E410" s="11" t="s">
        <v>17</v>
      </c>
      <c r="F410" s="11">
        <v>81</v>
      </c>
      <c r="G410" s="11">
        <v>52339.54</v>
      </c>
      <c r="H410" s="11">
        <v>14</v>
      </c>
      <c r="I410" s="12">
        <v>62</v>
      </c>
      <c r="J410" s="15" t="str">
        <f>IF(Table1[[#This Row],[Treatment Cost]]&gt;75000,"HIGH COST","LOW COST")</f>
        <v>LOW COST</v>
      </c>
      <c r="K410" s="15" t="str">
        <f>IF(Table1[[#This Row],[Age]]&gt;=60,"Senior Citizen",IF(AND(Table1[[#This Row],[Age]]&gt;=18,Table1[[#This Row],[Age]]&lt;60),"Adult",IF(Table1[[#This Row],[Age]]&lt;18,"Child")))</f>
        <v>Senior Citizen</v>
      </c>
      <c r="L410" s="19"/>
    </row>
    <row r="411" spans="1:12" x14ac:dyDescent="0.25">
      <c r="A411" s="11" t="s">
        <v>436</v>
      </c>
      <c r="B411" s="11" t="s">
        <v>15</v>
      </c>
      <c r="C411" s="11" t="s">
        <v>20</v>
      </c>
      <c r="D411" s="11" t="s">
        <v>26</v>
      </c>
      <c r="E411" s="11" t="s">
        <v>17</v>
      </c>
      <c r="F411" s="11">
        <v>53</v>
      </c>
      <c r="G411" s="11">
        <v>33517.620000000003</v>
      </c>
      <c r="H411" s="11">
        <v>22</v>
      </c>
      <c r="I411" s="12">
        <v>91</v>
      </c>
      <c r="J411" s="15" t="str">
        <f>IF(Table1[[#This Row],[Treatment Cost]]&gt;75000,"HIGH COST","LOW COST")</f>
        <v>LOW COST</v>
      </c>
      <c r="K411" s="15" t="str">
        <f>IF(Table1[[#This Row],[Age]]&gt;=60,"Senior Citizen",IF(AND(Table1[[#This Row],[Age]]&gt;=18,Table1[[#This Row],[Age]]&lt;60),"Adult",IF(Table1[[#This Row],[Age]]&lt;18,"Child")))</f>
        <v>Adult</v>
      </c>
      <c r="L411" s="19"/>
    </row>
    <row r="412" spans="1:12" x14ac:dyDescent="0.25">
      <c r="A412" s="11" t="s">
        <v>437</v>
      </c>
      <c r="B412" s="11" t="s">
        <v>34</v>
      </c>
      <c r="C412" s="11" t="s">
        <v>20</v>
      </c>
      <c r="D412" s="11" t="s">
        <v>12</v>
      </c>
      <c r="E412" s="11" t="s">
        <v>29</v>
      </c>
      <c r="F412" s="11">
        <v>45</v>
      </c>
      <c r="G412" s="11">
        <v>123601.18</v>
      </c>
      <c r="H412" s="11">
        <v>12</v>
      </c>
      <c r="I412" s="12">
        <v>57</v>
      </c>
      <c r="J412" s="15" t="str">
        <f>IF(Table1[[#This Row],[Treatment Cost]]&gt;75000,"HIGH COST","LOW COST")</f>
        <v>HIGH COST</v>
      </c>
      <c r="K412" s="15" t="str">
        <f>IF(Table1[[#This Row],[Age]]&gt;=60,"Senior Citizen",IF(AND(Table1[[#This Row],[Age]]&gt;=18,Table1[[#This Row],[Age]]&lt;60),"Adult",IF(Table1[[#This Row],[Age]]&lt;18,"Child")))</f>
        <v>Adult</v>
      </c>
      <c r="L412" s="19"/>
    </row>
    <row r="413" spans="1:12" x14ac:dyDescent="0.25">
      <c r="A413" s="11" t="s">
        <v>438</v>
      </c>
      <c r="B413" s="11" t="s">
        <v>19</v>
      </c>
      <c r="C413" s="11" t="s">
        <v>23</v>
      </c>
      <c r="D413" s="11" t="s">
        <v>16</v>
      </c>
      <c r="E413" s="11" t="s">
        <v>17</v>
      </c>
      <c r="F413" s="11">
        <v>33</v>
      </c>
      <c r="G413" s="11">
        <v>77643.61</v>
      </c>
      <c r="H413" s="11">
        <v>20</v>
      </c>
      <c r="I413" s="12">
        <v>79</v>
      </c>
      <c r="J413" s="15" t="str">
        <f>IF(Table1[[#This Row],[Treatment Cost]]&gt;75000,"HIGH COST","LOW COST")</f>
        <v>HIGH COST</v>
      </c>
      <c r="K413" s="15" t="str">
        <f>IF(Table1[[#This Row],[Age]]&gt;=60,"Senior Citizen",IF(AND(Table1[[#This Row],[Age]]&gt;=18,Table1[[#This Row],[Age]]&lt;60),"Adult",IF(Table1[[#This Row],[Age]]&lt;18,"Child")))</f>
        <v>Adult</v>
      </c>
      <c r="L413" s="19"/>
    </row>
    <row r="414" spans="1:12" x14ac:dyDescent="0.25">
      <c r="A414" s="11" t="s">
        <v>439</v>
      </c>
      <c r="B414" s="11" t="s">
        <v>15</v>
      </c>
      <c r="C414" s="11" t="s">
        <v>23</v>
      </c>
      <c r="D414" s="11" t="s">
        <v>12</v>
      </c>
      <c r="E414" s="11" t="s">
        <v>29</v>
      </c>
      <c r="F414" s="11">
        <v>59</v>
      </c>
      <c r="G414" s="11">
        <v>113315.52</v>
      </c>
      <c r="H414" s="11">
        <v>9</v>
      </c>
      <c r="I414" s="12">
        <v>100</v>
      </c>
      <c r="J414" s="15" t="str">
        <f>IF(Table1[[#This Row],[Treatment Cost]]&gt;75000,"HIGH COST","LOW COST")</f>
        <v>HIGH COST</v>
      </c>
      <c r="K414" s="15" t="str">
        <f>IF(Table1[[#This Row],[Age]]&gt;=60,"Senior Citizen",IF(AND(Table1[[#This Row],[Age]]&gt;=18,Table1[[#This Row],[Age]]&lt;60),"Adult",IF(Table1[[#This Row],[Age]]&lt;18,"Child")))</f>
        <v>Adult</v>
      </c>
      <c r="L414" s="19"/>
    </row>
    <row r="415" spans="1:12" x14ac:dyDescent="0.25">
      <c r="A415" s="11" t="s">
        <v>440</v>
      </c>
      <c r="B415" s="11" t="s">
        <v>15</v>
      </c>
      <c r="C415" s="11" t="s">
        <v>20</v>
      </c>
      <c r="D415" s="11" t="s">
        <v>12</v>
      </c>
      <c r="E415" s="11" t="s">
        <v>13</v>
      </c>
      <c r="F415" s="11">
        <v>47</v>
      </c>
      <c r="G415" s="11">
        <v>146120.45000000001</v>
      </c>
      <c r="H415" s="11">
        <v>27</v>
      </c>
      <c r="I415" s="12">
        <v>44</v>
      </c>
      <c r="J415" s="15" t="str">
        <f>IF(Table1[[#This Row],[Treatment Cost]]&gt;75000,"HIGH COST","LOW COST")</f>
        <v>HIGH COST</v>
      </c>
      <c r="K415" s="15" t="str">
        <f>IF(Table1[[#This Row],[Age]]&gt;=60,"Senior Citizen",IF(AND(Table1[[#This Row],[Age]]&gt;=18,Table1[[#This Row],[Age]]&lt;60),"Adult",IF(Table1[[#This Row],[Age]]&lt;18,"Child")))</f>
        <v>Adult</v>
      </c>
      <c r="L415" s="19"/>
    </row>
    <row r="416" spans="1:12" x14ac:dyDescent="0.25">
      <c r="A416" s="11" t="s">
        <v>441</v>
      </c>
      <c r="B416" s="11" t="s">
        <v>36</v>
      </c>
      <c r="C416" s="11" t="s">
        <v>40</v>
      </c>
      <c r="D416" s="11" t="s">
        <v>26</v>
      </c>
      <c r="E416" s="11" t="s">
        <v>17</v>
      </c>
      <c r="F416" s="11">
        <v>50</v>
      </c>
      <c r="G416" s="11">
        <v>4637.95</v>
      </c>
      <c r="H416" s="11">
        <v>6</v>
      </c>
      <c r="I416" s="12">
        <v>61</v>
      </c>
      <c r="J416" s="15" t="str">
        <f>IF(Table1[[#This Row],[Treatment Cost]]&gt;75000,"HIGH COST","LOW COST")</f>
        <v>LOW COST</v>
      </c>
      <c r="K416" s="15" t="str">
        <f>IF(Table1[[#This Row],[Age]]&gt;=60,"Senior Citizen",IF(AND(Table1[[#This Row],[Age]]&gt;=18,Table1[[#This Row],[Age]]&lt;60),"Adult",IF(Table1[[#This Row],[Age]]&lt;18,"Child")))</f>
        <v>Adult</v>
      </c>
      <c r="L416" s="19"/>
    </row>
    <row r="417" spans="1:12" x14ac:dyDescent="0.25">
      <c r="A417" s="11" t="s">
        <v>442</v>
      </c>
      <c r="B417" s="11" t="s">
        <v>15</v>
      </c>
      <c r="C417" s="11" t="s">
        <v>20</v>
      </c>
      <c r="D417" s="11" t="s">
        <v>26</v>
      </c>
      <c r="E417" s="11" t="s">
        <v>17</v>
      </c>
      <c r="F417" s="11">
        <v>32</v>
      </c>
      <c r="G417" s="11">
        <v>166677.70000000001</v>
      </c>
      <c r="H417" s="11">
        <v>14</v>
      </c>
      <c r="I417" s="12">
        <v>60</v>
      </c>
      <c r="J417" s="15" t="str">
        <f>IF(Table1[[#This Row],[Treatment Cost]]&gt;75000,"HIGH COST","LOW COST")</f>
        <v>HIGH COST</v>
      </c>
      <c r="K417" s="15" t="str">
        <f>IF(Table1[[#This Row],[Age]]&gt;=60,"Senior Citizen",IF(AND(Table1[[#This Row],[Age]]&gt;=18,Table1[[#This Row],[Age]]&lt;60),"Adult",IF(Table1[[#This Row],[Age]]&lt;18,"Child")))</f>
        <v>Adult</v>
      </c>
      <c r="L417" s="19"/>
    </row>
    <row r="418" spans="1:12" x14ac:dyDescent="0.25">
      <c r="A418" s="11" t="s">
        <v>443</v>
      </c>
      <c r="B418" s="11" t="s">
        <v>31</v>
      </c>
      <c r="C418" s="11" t="s">
        <v>40</v>
      </c>
      <c r="D418" s="11" t="s">
        <v>12</v>
      </c>
      <c r="E418" s="11" t="s">
        <v>17</v>
      </c>
      <c r="F418" s="11">
        <v>57</v>
      </c>
      <c r="G418" s="11">
        <v>84970.98</v>
      </c>
      <c r="H418" s="11">
        <v>10</v>
      </c>
      <c r="I418" s="12">
        <v>100</v>
      </c>
      <c r="J418" s="15" t="str">
        <f>IF(Table1[[#This Row],[Treatment Cost]]&gt;75000,"HIGH COST","LOW COST")</f>
        <v>HIGH COST</v>
      </c>
      <c r="K418" s="15" t="str">
        <f>IF(Table1[[#This Row],[Age]]&gt;=60,"Senior Citizen",IF(AND(Table1[[#This Row],[Age]]&gt;=18,Table1[[#This Row],[Age]]&lt;60),"Adult",IF(Table1[[#This Row],[Age]]&lt;18,"Child")))</f>
        <v>Adult</v>
      </c>
      <c r="L418" s="19"/>
    </row>
    <row r="419" spans="1:12" x14ac:dyDescent="0.25">
      <c r="A419" s="11" t="s">
        <v>444</v>
      </c>
      <c r="B419" s="11" t="s">
        <v>15</v>
      </c>
      <c r="C419" s="11" t="s">
        <v>23</v>
      </c>
      <c r="D419" s="11" t="s">
        <v>24</v>
      </c>
      <c r="E419" s="11" t="s">
        <v>17</v>
      </c>
      <c r="F419" s="11">
        <v>67</v>
      </c>
      <c r="G419" s="11">
        <v>93675.66</v>
      </c>
      <c r="H419" s="11">
        <v>20</v>
      </c>
      <c r="I419" s="12">
        <v>78</v>
      </c>
      <c r="J419" s="15" t="str">
        <f>IF(Table1[[#This Row],[Treatment Cost]]&gt;75000,"HIGH COST","LOW COST")</f>
        <v>HIGH COST</v>
      </c>
      <c r="K419" s="15" t="str">
        <f>IF(Table1[[#This Row],[Age]]&gt;=60,"Senior Citizen",IF(AND(Table1[[#This Row],[Age]]&gt;=18,Table1[[#This Row],[Age]]&lt;60),"Adult",IF(Table1[[#This Row],[Age]]&lt;18,"Child")))</f>
        <v>Senior Citizen</v>
      </c>
      <c r="L419" s="19"/>
    </row>
    <row r="420" spans="1:12" x14ac:dyDescent="0.25">
      <c r="A420" s="11" t="s">
        <v>445</v>
      </c>
      <c r="B420" s="11" t="s">
        <v>10</v>
      </c>
      <c r="C420" s="11" t="s">
        <v>23</v>
      </c>
      <c r="D420" s="11" t="s">
        <v>24</v>
      </c>
      <c r="E420" s="11" t="s">
        <v>17</v>
      </c>
      <c r="F420" s="11">
        <v>79</v>
      </c>
      <c r="G420" s="11">
        <v>93257.94</v>
      </c>
      <c r="H420" s="11">
        <v>9</v>
      </c>
      <c r="I420" s="12">
        <v>82</v>
      </c>
      <c r="J420" s="15" t="str">
        <f>IF(Table1[[#This Row],[Treatment Cost]]&gt;75000,"HIGH COST","LOW COST")</f>
        <v>HIGH COST</v>
      </c>
      <c r="K420" s="15" t="str">
        <f>IF(Table1[[#This Row],[Age]]&gt;=60,"Senior Citizen",IF(AND(Table1[[#This Row],[Age]]&gt;=18,Table1[[#This Row],[Age]]&lt;60),"Adult",IF(Table1[[#This Row],[Age]]&lt;18,"Child")))</f>
        <v>Senior Citizen</v>
      </c>
      <c r="L420" s="19"/>
    </row>
    <row r="421" spans="1:12" x14ac:dyDescent="0.25">
      <c r="A421" s="11" t="s">
        <v>446</v>
      </c>
      <c r="B421" s="11" t="s">
        <v>19</v>
      </c>
      <c r="C421" s="11" t="s">
        <v>11</v>
      </c>
      <c r="D421" s="11" t="s">
        <v>24</v>
      </c>
      <c r="E421" s="11" t="s">
        <v>13</v>
      </c>
      <c r="F421" s="11">
        <v>20</v>
      </c>
      <c r="G421" s="11">
        <v>65864.850000000006</v>
      </c>
      <c r="H421" s="11">
        <v>22</v>
      </c>
      <c r="I421" s="12">
        <v>95</v>
      </c>
      <c r="J421" s="15" t="str">
        <f>IF(Table1[[#This Row],[Treatment Cost]]&gt;75000,"HIGH COST","LOW COST")</f>
        <v>LOW COST</v>
      </c>
      <c r="K421" s="15" t="str">
        <f>IF(Table1[[#This Row],[Age]]&gt;=60,"Senior Citizen",IF(AND(Table1[[#This Row],[Age]]&gt;=18,Table1[[#This Row],[Age]]&lt;60),"Adult",IF(Table1[[#This Row],[Age]]&lt;18,"Child")))</f>
        <v>Adult</v>
      </c>
      <c r="L421" s="19"/>
    </row>
    <row r="422" spans="1:12" x14ac:dyDescent="0.25">
      <c r="A422" s="11" t="s">
        <v>447</v>
      </c>
      <c r="B422" s="11" t="s">
        <v>19</v>
      </c>
      <c r="C422" s="11" t="s">
        <v>11</v>
      </c>
      <c r="D422" s="11" t="s">
        <v>21</v>
      </c>
      <c r="E422" s="11" t="s">
        <v>29</v>
      </c>
      <c r="F422" s="11">
        <v>35</v>
      </c>
      <c r="G422" s="11">
        <v>27754.48</v>
      </c>
      <c r="H422" s="11">
        <v>13</v>
      </c>
      <c r="I422" s="12">
        <v>45</v>
      </c>
      <c r="J422" s="15" t="str">
        <f>IF(Table1[[#This Row],[Treatment Cost]]&gt;75000,"HIGH COST","LOW COST")</f>
        <v>LOW COST</v>
      </c>
      <c r="K422" s="15" t="str">
        <f>IF(Table1[[#This Row],[Age]]&gt;=60,"Senior Citizen",IF(AND(Table1[[#This Row],[Age]]&gt;=18,Table1[[#This Row],[Age]]&lt;60),"Adult",IF(Table1[[#This Row],[Age]]&lt;18,"Child")))</f>
        <v>Adult</v>
      </c>
      <c r="L422" s="19"/>
    </row>
    <row r="423" spans="1:12" x14ac:dyDescent="0.25">
      <c r="A423" s="11" t="s">
        <v>448</v>
      </c>
      <c r="B423" s="11" t="s">
        <v>34</v>
      </c>
      <c r="C423" s="11" t="s">
        <v>23</v>
      </c>
      <c r="D423" s="11" t="s">
        <v>16</v>
      </c>
      <c r="E423" s="11" t="s">
        <v>29</v>
      </c>
      <c r="F423" s="11">
        <v>65</v>
      </c>
      <c r="G423" s="11">
        <v>178243.01</v>
      </c>
      <c r="H423" s="11">
        <v>15</v>
      </c>
      <c r="I423" s="12">
        <v>87</v>
      </c>
      <c r="J423" s="15" t="str">
        <f>IF(Table1[[#This Row],[Treatment Cost]]&gt;75000,"HIGH COST","LOW COST")</f>
        <v>HIGH COST</v>
      </c>
      <c r="K423" s="15" t="str">
        <f>IF(Table1[[#This Row],[Age]]&gt;=60,"Senior Citizen",IF(AND(Table1[[#This Row],[Age]]&gt;=18,Table1[[#This Row],[Age]]&lt;60),"Adult",IF(Table1[[#This Row],[Age]]&lt;18,"Child")))</f>
        <v>Senior Citizen</v>
      </c>
      <c r="L423" s="19"/>
    </row>
    <row r="424" spans="1:12" x14ac:dyDescent="0.25">
      <c r="A424" s="11" t="s">
        <v>449</v>
      </c>
      <c r="B424" s="11" t="s">
        <v>34</v>
      </c>
      <c r="C424" s="11" t="s">
        <v>23</v>
      </c>
      <c r="D424" s="11" t="s">
        <v>21</v>
      </c>
      <c r="E424" s="11" t="s">
        <v>29</v>
      </c>
      <c r="F424" s="11">
        <v>72</v>
      </c>
      <c r="G424" s="11">
        <v>86670.61</v>
      </c>
      <c r="H424" s="11">
        <v>17</v>
      </c>
      <c r="I424" s="12">
        <v>60</v>
      </c>
      <c r="J424" s="15" t="str">
        <f>IF(Table1[[#This Row],[Treatment Cost]]&gt;75000,"HIGH COST","LOW COST")</f>
        <v>HIGH COST</v>
      </c>
      <c r="K424" s="15" t="str">
        <f>IF(Table1[[#This Row],[Age]]&gt;=60,"Senior Citizen",IF(AND(Table1[[#This Row],[Age]]&gt;=18,Table1[[#This Row],[Age]]&lt;60),"Adult",IF(Table1[[#This Row],[Age]]&lt;18,"Child")))</f>
        <v>Senior Citizen</v>
      </c>
      <c r="L424" s="19"/>
    </row>
    <row r="425" spans="1:12" x14ac:dyDescent="0.25">
      <c r="A425" s="11" t="s">
        <v>450</v>
      </c>
      <c r="B425" s="11" t="s">
        <v>34</v>
      </c>
      <c r="C425" s="11" t="s">
        <v>23</v>
      </c>
      <c r="D425" s="11" t="s">
        <v>24</v>
      </c>
      <c r="E425" s="11" t="s">
        <v>29</v>
      </c>
      <c r="F425" s="11">
        <v>42</v>
      </c>
      <c r="G425" s="11">
        <v>66846.02</v>
      </c>
      <c r="H425" s="11">
        <v>6</v>
      </c>
      <c r="I425" s="12">
        <v>73</v>
      </c>
      <c r="J425" s="15" t="str">
        <f>IF(Table1[[#This Row],[Treatment Cost]]&gt;75000,"HIGH COST","LOW COST")</f>
        <v>LOW COST</v>
      </c>
      <c r="K425" s="15" t="str">
        <f>IF(Table1[[#This Row],[Age]]&gt;=60,"Senior Citizen",IF(AND(Table1[[#This Row],[Age]]&gt;=18,Table1[[#This Row],[Age]]&lt;60),"Adult",IF(Table1[[#This Row],[Age]]&lt;18,"Child")))</f>
        <v>Adult</v>
      </c>
      <c r="L425" s="19"/>
    </row>
    <row r="426" spans="1:12" x14ac:dyDescent="0.25">
      <c r="A426" s="11" t="s">
        <v>451</v>
      </c>
      <c r="B426" s="11" t="s">
        <v>19</v>
      </c>
      <c r="C426" s="11" t="s">
        <v>20</v>
      </c>
      <c r="D426" s="11" t="s">
        <v>26</v>
      </c>
      <c r="E426" s="11" t="s">
        <v>17</v>
      </c>
      <c r="F426" s="11">
        <v>12</v>
      </c>
      <c r="G426" s="11">
        <v>143304.72</v>
      </c>
      <c r="H426" s="11">
        <v>17</v>
      </c>
      <c r="I426" s="12">
        <v>90</v>
      </c>
      <c r="J426" s="15" t="str">
        <f>IF(Table1[[#This Row],[Treatment Cost]]&gt;75000,"HIGH COST","LOW COST")</f>
        <v>HIGH COST</v>
      </c>
      <c r="K426" s="15" t="str">
        <f>IF(Table1[[#This Row],[Age]]&gt;=60,"Senior Citizen",IF(AND(Table1[[#This Row],[Age]]&gt;=18,Table1[[#This Row],[Age]]&lt;60),"Adult",IF(Table1[[#This Row],[Age]]&lt;18,"Child")))</f>
        <v>Child</v>
      </c>
      <c r="L426" s="19"/>
    </row>
    <row r="427" spans="1:12" x14ac:dyDescent="0.25">
      <c r="A427" s="11" t="s">
        <v>452</v>
      </c>
      <c r="B427" s="11" t="s">
        <v>15</v>
      </c>
      <c r="C427" s="11" t="s">
        <v>23</v>
      </c>
      <c r="D427" s="11" t="s">
        <v>26</v>
      </c>
      <c r="E427" s="11" t="s">
        <v>17</v>
      </c>
      <c r="F427" s="11">
        <v>58</v>
      </c>
      <c r="G427" s="11">
        <v>189016.41</v>
      </c>
      <c r="H427" s="11">
        <v>12</v>
      </c>
      <c r="I427" s="12">
        <v>88</v>
      </c>
      <c r="J427" s="15" t="str">
        <f>IF(Table1[[#This Row],[Treatment Cost]]&gt;75000,"HIGH COST","LOW COST")</f>
        <v>HIGH COST</v>
      </c>
      <c r="K427" s="15" t="str">
        <f>IF(Table1[[#This Row],[Age]]&gt;=60,"Senior Citizen",IF(AND(Table1[[#This Row],[Age]]&gt;=18,Table1[[#This Row],[Age]]&lt;60),"Adult",IF(Table1[[#This Row],[Age]]&lt;18,"Child")))</f>
        <v>Adult</v>
      </c>
      <c r="L427" s="19"/>
    </row>
    <row r="428" spans="1:12" x14ac:dyDescent="0.25">
      <c r="A428" s="11" t="s">
        <v>453</v>
      </c>
      <c r="B428" s="11" t="s">
        <v>15</v>
      </c>
      <c r="C428" s="11" t="s">
        <v>11</v>
      </c>
      <c r="D428" s="11" t="s">
        <v>26</v>
      </c>
      <c r="E428" s="11" t="s">
        <v>29</v>
      </c>
      <c r="F428" s="11">
        <v>32</v>
      </c>
      <c r="G428" s="11">
        <v>130440.68</v>
      </c>
      <c r="H428" s="11">
        <v>9</v>
      </c>
      <c r="I428" s="12">
        <v>52</v>
      </c>
      <c r="J428" s="15" t="str">
        <f>IF(Table1[[#This Row],[Treatment Cost]]&gt;75000,"HIGH COST","LOW COST")</f>
        <v>HIGH COST</v>
      </c>
      <c r="K428" s="15" t="str">
        <f>IF(Table1[[#This Row],[Age]]&gt;=60,"Senior Citizen",IF(AND(Table1[[#This Row],[Age]]&gt;=18,Table1[[#This Row],[Age]]&lt;60),"Adult",IF(Table1[[#This Row],[Age]]&lt;18,"Child")))</f>
        <v>Adult</v>
      </c>
      <c r="L428" s="19"/>
    </row>
    <row r="429" spans="1:12" x14ac:dyDescent="0.25">
      <c r="A429" s="11" t="s">
        <v>454</v>
      </c>
      <c r="B429" s="11" t="s">
        <v>10</v>
      </c>
      <c r="C429" s="11" t="s">
        <v>11</v>
      </c>
      <c r="D429" s="11" t="s">
        <v>21</v>
      </c>
      <c r="E429" s="11" t="s">
        <v>29</v>
      </c>
      <c r="F429" s="11">
        <v>51</v>
      </c>
      <c r="G429" s="11">
        <v>77940.55</v>
      </c>
      <c r="H429" s="11">
        <v>22</v>
      </c>
      <c r="I429" s="12">
        <v>57</v>
      </c>
      <c r="J429" s="15" t="str">
        <f>IF(Table1[[#This Row],[Treatment Cost]]&gt;75000,"HIGH COST","LOW COST")</f>
        <v>HIGH COST</v>
      </c>
      <c r="K429" s="15" t="str">
        <f>IF(Table1[[#This Row],[Age]]&gt;=60,"Senior Citizen",IF(AND(Table1[[#This Row],[Age]]&gt;=18,Table1[[#This Row],[Age]]&lt;60),"Adult",IF(Table1[[#This Row],[Age]]&lt;18,"Child")))</f>
        <v>Adult</v>
      </c>
      <c r="L429" s="19"/>
    </row>
    <row r="430" spans="1:12" x14ac:dyDescent="0.25">
      <c r="A430" s="11" t="s">
        <v>455</v>
      </c>
      <c r="B430" s="11" t="s">
        <v>15</v>
      </c>
      <c r="C430" s="11" t="s">
        <v>11</v>
      </c>
      <c r="D430" s="11" t="s">
        <v>26</v>
      </c>
      <c r="E430" s="11" t="s">
        <v>13</v>
      </c>
      <c r="F430" s="11">
        <v>66</v>
      </c>
      <c r="G430" s="11">
        <v>89520.22</v>
      </c>
      <c r="H430" s="11">
        <v>2</v>
      </c>
      <c r="I430" s="12">
        <v>65</v>
      </c>
      <c r="J430" s="15" t="str">
        <f>IF(Table1[[#This Row],[Treatment Cost]]&gt;75000,"HIGH COST","LOW COST")</f>
        <v>HIGH COST</v>
      </c>
      <c r="K430" s="15" t="str">
        <f>IF(Table1[[#This Row],[Age]]&gt;=60,"Senior Citizen",IF(AND(Table1[[#This Row],[Age]]&gt;=18,Table1[[#This Row],[Age]]&lt;60),"Adult",IF(Table1[[#This Row],[Age]]&lt;18,"Child")))</f>
        <v>Senior Citizen</v>
      </c>
      <c r="L430" s="19"/>
    </row>
    <row r="431" spans="1:12" x14ac:dyDescent="0.25">
      <c r="A431" s="11" t="s">
        <v>456</v>
      </c>
      <c r="B431" s="11" t="s">
        <v>15</v>
      </c>
      <c r="C431" s="11" t="s">
        <v>11</v>
      </c>
      <c r="D431" s="11" t="s">
        <v>24</v>
      </c>
      <c r="E431" s="11" t="s">
        <v>17</v>
      </c>
      <c r="F431" s="11">
        <v>70</v>
      </c>
      <c r="G431" s="11">
        <v>130891.41</v>
      </c>
      <c r="H431" s="11">
        <v>9</v>
      </c>
      <c r="I431" s="12">
        <v>45</v>
      </c>
      <c r="J431" s="15" t="str">
        <f>IF(Table1[[#This Row],[Treatment Cost]]&gt;75000,"HIGH COST","LOW COST")</f>
        <v>HIGH COST</v>
      </c>
      <c r="K431" s="15" t="str">
        <f>IF(Table1[[#This Row],[Age]]&gt;=60,"Senior Citizen",IF(AND(Table1[[#This Row],[Age]]&gt;=18,Table1[[#This Row],[Age]]&lt;60),"Adult",IF(Table1[[#This Row],[Age]]&lt;18,"Child")))</f>
        <v>Senior Citizen</v>
      </c>
      <c r="L431" s="19"/>
    </row>
    <row r="432" spans="1:12" x14ac:dyDescent="0.25">
      <c r="A432" s="11" t="s">
        <v>457</v>
      </c>
      <c r="B432" s="11" t="s">
        <v>31</v>
      </c>
      <c r="C432" s="11" t="s">
        <v>40</v>
      </c>
      <c r="D432" s="11" t="s">
        <v>21</v>
      </c>
      <c r="E432" s="11" t="s">
        <v>29</v>
      </c>
      <c r="F432" s="11">
        <v>75</v>
      </c>
      <c r="G432" s="11">
        <v>33560.699999999997</v>
      </c>
      <c r="H432" s="11">
        <v>25</v>
      </c>
      <c r="I432" s="12">
        <v>78</v>
      </c>
      <c r="J432" s="15" t="str">
        <f>IF(Table1[[#This Row],[Treatment Cost]]&gt;75000,"HIGH COST","LOW COST")</f>
        <v>LOW COST</v>
      </c>
      <c r="K432" s="15" t="str">
        <f>IF(Table1[[#This Row],[Age]]&gt;=60,"Senior Citizen",IF(AND(Table1[[#This Row],[Age]]&gt;=18,Table1[[#This Row],[Age]]&lt;60),"Adult",IF(Table1[[#This Row],[Age]]&lt;18,"Child")))</f>
        <v>Senior Citizen</v>
      </c>
      <c r="L432" s="19"/>
    </row>
    <row r="433" spans="1:12" x14ac:dyDescent="0.25">
      <c r="A433" s="11" t="s">
        <v>458</v>
      </c>
      <c r="B433" s="11" t="s">
        <v>36</v>
      </c>
      <c r="C433" s="11" t="s">
        <v>40</v>
      </c>
      <c r="D433" s="11" t="s">
        <v>26</v>
      </c>
      <c r="E433" s="11" t="s">
        <v>13</v>
      </c>
      <c r="F433" s="11">
        <v>18</v>
      </c>
      <c r="G433" s="11">
        <v>147238.28</v>
      </c>
      <c r="H433" s="11">
        <v>24</v>
      </c>
      <c r="I433" s="12">
        <v>95</v>
      </c>
      <c r="J433" s="15" t="str">
        <f>IF(Table1[[#This Row],[Treatment Cost]]&gt;75000,"HIGH COST","LOW COST")</f>
        <v>HIGH COST</v>
      </c>
      <c r="K433" s="15" t="str">
        <f>IF(Table1[[#This Row],[Age]]&gt;=60,"Senior Citizen",IF(AND(Table1[[#This Row],[Age]]&gt;=18,Table1[[#This Row],[Age]]&lt;60),"Adult",IF(Table1[[#This Row],[Age]]&lt;18,"Child")))</f>
        <v>Adult</v>
      </c>
      <c r="L433" s="19"/>
    </row>
    <row r="434" spans="1:12" x14ac:dyDescent="0.25">
      <c r="A434" s="11" t="s">
        <v>459</v>
      </c>
      <c r="B434" s="11" t="s">
        <v>36</v>
      </c>
      <c r="C434" s="11" t="s">
        <v>23</v>
      </c>
      <c r="D434" s="11" t="s">
        <v>21</v>
      </c>
      <c r="E434" s="11" t="s">
        <v>29</v>
      </c>
      <c r="F434" s="11">
        <v>19</v>
      </c>
      <c r="G434" s="11">
        <v>25471.09</v>
      </c>
      <c r="H434" s="11">
        <v>19</v>
      </c>
      <c r="I434" s="12">
        <v>46</v>
      </c>
      <c r="J434" s="15" t="str">
        <f>IF(Table1[[#This Row],[Treatment Cost]]&gt;75000,"HIGH COST","LOW COST")</f>
        <v>LOW COST</v>
      </c>
      <c r="K434" s="15" t="str">
        <f>IF(Table1[[#This Row],[Age]]&gt;=60,"Senior Citizen",IF(AND(Table1[[#This Row],[Age]]&gt;=18,Table1[[#This Row],[Age]]&lt;60),"Adult",IF(Table1[[#This Row],[Age]]&lt;18,"Child")))</f>
        <v>Adult</v>
      </c>
      <c r="L434" s="19"/>
    </row>
    <row r="435" spans="1:12" x14ac:dyDescent="0.25">
      <c r="A435" s="11" t="s">
        <v>460</v>
      </c>
      <c r="B435" s="11" t="s">
        <v>15</v>
      </c>
      <c r="C435" s="11" t="s">
        <v>11</v>
      </c>
      <c r="D435" s="11" t="s">
        <v>26</v>
      </c>
      <c r="E435" s="11" t="s">
        <v>17</v>
      </c>
      <c r="F435" s="11">
        <v>24</v>
      </c>
      <c r="G435" s="11">
        <v>112601</v>
      </c>
      <c r="H435" s="11">
        <v>7</v>
      </c>
      <c r="I435" s="12">
        <v>68</v>
      </c>
      <c r="J435" s="15" t="str">
        <f>IF(Table1[[#This Row],[Treatment Cost]]&gt;75000,"HIGH COST","LOW COST")</f>
        <v>HIGH COST</v>
      </c>
      <c r="K435" s="15" t="str">
        <f>IF(Table1[[#This Row],[Age]]&gt;=60,"Senior Citizen",IF(AND(Table1[[#This Row],[Age]]&gt;=18,Table1[[#This Row],[Age]]&lt;60),"Adult",IF(Table1[[#This Row],[Age]]&lt;18,"Child")))</f>
        <v>Adult</v>
      </c>
      <c r="L435" s="19"/>
    </row>
    <row r="436" spans="1:12" x14ac:dyDescent="0.25">
      <c r="A436" s="11" t="s">
        <v>461</v>
      </c>
      <c r="B436" s="11" t="s">
        <v>31</v>
      </c>
      <c r="C436" s="11" t="s">
        <v>40</v>
      </c>
      <c r="D436" s="11" t="s">
        <v>21</v>
      </c>
      <c r="E436" s="11" t="s">
        <v>29</v>
      </c>
      <c r="F436" s="11">
        <v>63</v>
      </c>
      <c r="G436" s="11">
        <v>170549.07</v>
      </c>
      <c r="H436" s="11">
        <v>23</v>
      </c>
      <c r="I436" s="12">
        <v>99</v>
      </c>
      <c r="J436" s="15" t="str">
        <f>IF(Table1[[#This Row],[Treatment Cost]]&gt;75000,"HIGH COST","LOW COST")</f>
        <v>HIGH COST</v>
      </c>
      <c r="K436" s="15" t="str">
        <f>IF(Table1[[#This Row],[Age]]&gt;=60,"Senior Citizen",IF(AND(Table1[[#This Row],[Age]]&gt;=18,Table1[[#This Row],[Age]]&lt;60),"Adult",IF(Table1[[#This Row],[Age]]&lt;18,"Child")))</f>
        <v>Senior Citizen</v>
      </c>
      <c r="L436" s="19"/>
    </row>
    <row r="437" spans="1:12" x14ac:dyDescent="0.25">
      <c r="A437" s="11" t="s">
        <v>462</v>
      </c>
      <c r="B437" s="11" t="s">
        <v>10</v>
      </c>
      <c r="C437" s="11" t="s">
        <v>20</v>
      </c>
      <c r="D437" s="11" t="s">
        <v>21</v>
      </c>
      <c r="E437" s="11" t="s">
        <v>17</v>
      </c>
      <c r="F437" s="11">
        <v>90</v>
      </c>
      <c r="G437" s="11">
        <v>68409.53</v>
      </c>
      <c r="H437" s="11">
        <v>25</v>
      </c>
      <c r="I437" s="12">
        <v>95</v>
      </c>
      <c r="J437" s="15" t="str">
        <f>IF(Table1[[#This Row],[Treatment Cost]]&gt;75000,"HIGH COST","LOW COST")</f>
        <v>LOW COST</v>
      </c>
      <c r="K437" s="15" t="str">
        <f>IF(Table1[[#This Row],[Age]]&gt;=60,"Senior Citizen",IF(AND(Table1[[#This Row],[Age]]&gt;=18,Table1[[#This Row],[Age]]&lt;60),"Adult",IF(Table1[[#This Row],[Age]]&lt;18,"Child")))</f>
        <v>Senior Citizen</v>
      </c>
      <c r="L437" s="19"/>
    </row>
    <row r="438" spans="1:12" x14ac:dyDescent="0.25">
      <c r="A438" s="11" t="s">
        <v>463</v>
      </c>
      <c r="B438" s="11" t="s">
        <v>10</v>
      </c>
      <c r="C438" s="11" t="s">
        <v>20</v>
      </c>
      <c r="D438" s="11" t="s">
        <v>24</v>
      </c>
      <c r="E438" s="11" t="s">
        <v>13</v>
      </c>
      <c r="F438" s="11">
        <v>7</v>
      </c>
      <c r="G438" s="11">
        <v>75273.59</v>
      </c>
      <c r="H438" s="11">
        <v>27</v>
      </c>
      <c r="I438" s="12">
        <v>81</v>
      </c>
      <c r="J438" s="15" t="str">
        <f>IF(Table1[[#This Row],[Treatment Cost]]&gt;75000,"HIGH COST","LOW COST")</f>
        <v>HIGH COST</v>
      </c>
      <c r="K438" s="15" t="str">
        <f>IF(Table1[[#This Row],[Age]]&gt;=60,"Senior Citizen",IF(AND(Table1[[#This Row],[Age]]&gt;=18,Table1[[#This Row],[Age]]&lt;60),"Adult",IF(Table1[[#This Row],[Age]]&lt;18,"Child")))</f>
        <v>Child</v>
      </c>
      <c r="L438" s="19"/>
    </row>
    <row r="439" spans="1:12" x14ac:dyDescent="0.25">
      <c r="A439" s="11" t="s">
        <v>464</v>
      </c>
      <c r="B439" s="11" t="s">
        <v>34</v>
      </c>
      <c r="C439" s="11" t="s">
        <v>40</v>
      </c>
      <c r="D439" s="11" t="s">
        <v>24</v>
      </c>
      <c r="E439" s="11" t="s">
        <v>13</v>
      </c>
      <c r="F439" s="11">
        <v>71</v>
      </c>
      <c r="G439" s="11">
        <v>31763.29</v>
      </c>
      <c r="H439" s="11">
        <v>28</v>
      </c>
      <c r="I439" s="12">
        <v>76</v>
      </c>
      <c r="J439" s="15" t="str">
        <f>IF(Table1[[#This Row],[Treatment Cost]]&gt;75000,"HIGH COST","LOW COST")</f>
        <v>LOW COST</v>
      </c>
      <c r="K439" s="15" t="str">
        <f>IF(Table1[[#This Row],[Age]]&gt;=60,"Senior Citizen",IF(AND(Table1[[#This Row],[Age]]&gt;=18,Table1[[#This Row],[Age]]&lt;60),"Adult",IF(Table1[[#This Row],[Age]]&lt;18,"Child")))</f>
        <v>Senior Citizen</v>
      </c>
      <c r="L439" s="19"/>
    </row>
    <row r="440" spans="1:12" x14ac:dyDescent="0.25">
      <c r="A440" s="11" t="s">
        <v>465</v>
      </c>
      <c r="B440" s="11" t="s">
        <v>36</v>
      </c>
      <c r="C440" s="11" t="s">
        <v>20</v>
      </c>
      <c r="D440" s="11" t="s">
        <v>16</v>
      </c>
      <c r="E440" s="11" t="s">
        <v>13</v>
      </c>
      <c r="F440" s="11">
        <v>10</v>
      </c>
      <c r="G440" s="11">
        <v>94319.57</v>
      </c>
      <c r="H440" s="11">
        <v>12</v>
      </c>
      <c r="I440" s="12">
        <v>74</v>
      </c>
      <c r="J440" s="15" t="str">
        <f>IF(Table1[[#This Row],[Treatment Cost]]&gt;75000,"HIGH COST","LOW COST")</f>
        <v>HIGH COST</v>
      </c>
      <c r="K440" s="15" t="str">
        <f>IF(Table1[[#This Row],[Age]]&gt;=60,"Senior Citizen",IF(AND(Table1[[#This Row],[Age]]&gt;=18,Table1[[#This Row],[Age]]&lt;60),"Adult",IF(Table1[[#This Row],[Age]]&lt;18,"Child")))</f>
        <v>Child</v>
      </c>
      <c r="L440" s="19"/>
    </row>
    <row r="441" spans="1:12" x14ac:dyDescent="0.25">
      <c r="A441" s="11" t="s">
        <v>466</v>
      </c>
      <c r="B441" s="11" t="s">
        <v>36</v>
      </c>
      <c r="C441" s="11" t="s">
        <v>40</v>
      </c>
      <c r="D441" s="11" t="s">
        <v>12</v>
      </c>
      <c r="E441" s="11" t="s">
        <v>29</v>
      </c>
      <c r="F441" s="11">
        <v>23</v>
      </c>
      <c r="G441" s="11">
        <v>102066.95</v>
      </c>
      <c r="H441" s="11">
        <v>18</v>
      </c>
      <c r="I441" s="12">
        <v>100</v>
      </c>
      <c r="J441" s="15" t="str">
        <f>IF(Table1[[#This Row],[Treatment Cost]]&gt;75000,"HIGH COST","LOW COST")</f>
        <v>HIGH COST</v>
      </c>
      <c r="K441" s="15" t="str">
        <f>IF(Table1[[#This Row],[Age]]&gt;=60,"Senior Citizen",IF(AND(Table1[[#This Row],[Age]]&gt;=18,Table1[[#This Row],[Age]]&lt;60),"Adult",IF(Table1[[#This Row],[Age]]&lt;18,"Child")))</f>
        <v>Adult</v>
      </c>
      <c r="L441" s="19"/>
    </row>
    <row r="442" spans="1:12" x14ac:dyDescent="0.25">
      <c r="A442" s="11" t="s">
        <v>467</v>
      </c>
      <c r="B442" s="11" t="s">
        <v>31</v>
      </c>
      <c r="C442" s="11" t="s">
        <v>20</v>
      </c>
      <c r="D442" s="11" t="s">
        <v>26</v>
      </c>
      <c r="E442" s="11" t="s">
        <v>13</v>
      </c>
      <c r="F442" s="11">
        <v>44</v>
      </c>
      <c r="G442" s="11">
        <v>94295.51</v>
      </c>
      <c r="H442" s="11">
        <v>14</v>
      </c>
      <c r="I442" s="12">
        <v>58</v>
      </c>
      <c r="J442" s="15" t="str">
        <f>IF(Table1[[#This Row],[Treatment Cost]]&gt;75000,"HIGH COST","LOW COST")</f>
        <v>HIGH COST</v>
      </c>
      <c r="K442" s="15" t="str">
        <f>IF(Table1[[#This Row],[Age]]&gt;=60,"Senior Citizen",IF(AND(Table1[[#This Row],[Age]]&gt;=18,Table1[[#This Row],[Age]]&lt;60),"Adult",IF(Table1[[#This Row],[Age]]&lt;18,"Child")))</f>
        <v>Adult</v>
      </c>
      <c r="L442" s="19"/>
    </row>
    <row r="443" spans="1:12" x14ac:dyDescent="0.25">
      <c r="A443" s="11" t="s">
        <v>468</v>
      </c>
      <c r="B443" s="11" t="s">
        <v>19</v>
      </c>
      <c r="C443" s="11" t="s">
        <v>40</v>
      </c>
      <c r="D443" s="11" t="s">
        <v>21</v>
      </c>
      <c r="E443" s="11" t="s">
        <v>17</v>
      </c>
      <c r="F443" s="11">
        <v>43</v>
      </c>
      <c r="G443" s="11">
        <v>34785.9</v>
      </c>
      <c r="H443" s="11">
        <v>20</v>
      </c>
      <c r="I443" s="12">
        <v>52</v>
      </c>
      <c r="J443" s="15" t="str">
        <f>IF(Table1[[#This Row],[Treatment Cost]]&gt;75000,"HIGH COST","LOW COST")</f>
        <v>LOW COST</v>
      </c>
      <c r="K443" s="15" t="str">
        <f>IF(Table1[[#This Row],[Age]]&gt;=60,"Senior Citizen",IF(AND(Table1[[#This Row],[Age]]&gt;=18,Table1[[#This Row],[Age]]&lt;60),"Adult",IF(Table1[[#This Row],[Age]]&lt;18,"Child")))</f>
        <v>Adult</v>
      </c>
      <c r="L443" s="19"/>
    </row>
    <row r="444" spans="1:12" x14ac:dyDescent="0.25">
      <c r="A444" s="11" t="s">
        <v>469</v>
      </c>
      <c r="B444" s="11" t="s">
        <v>31</v>
      </c>
      <c r="C444" s="11" t="s">
        <v>23</v>
      </c>
      <c r="D444" s="11" t="s">
        <v>26</v>
      </c>
      <c r="E444" s="11" t="s">
        <v>17</v>
      </c>
      <c r="F444" s="11">
        <v>44</v>
      </c>
      <c r="G444" s="11">
        <v>100789.32</v>
      </c>
      <c r="H444" s="11">
        <v>8</v>
      </c>
      <c r="I444" s="12">
        <v>41</v>
      </c>
      <c r="J444" s="15" t="str">
        <f>IF(Table1[[#This Row],[Treatment Cost]]&gt;75000,"HIGH COST","LOW COST")</f>
        <v>HIGH COST</v>
      </c>
      <c r="K444" s="15" t="str">
        <f>IF(Table1[[#This Row],[Age]]&gt;=60,"Senior Citizen",IF(AND(Table1[[#This Row],[Age]]&gt;=18,Table1[[#This Row],[Age]]&lt;60),"Adult",IF(Table1[[#This Row],[Age]]&lt;18,"Child")))</f>
        <v>Adult</v>
      </c>
      <c r="L444" s="19"/>
    </row>
    <row r="445" spans="1:12" x14ac:dyDescent="0.25">
      <c r="A445" s="11" t="s">
        <v>470</v>
      </c>
      <c r="B445" s="11" t="s">
        <v>36</v>
      </c>
      <c r="C445" s="11" t="s">
        <v>11</v>
      </c>
      <c r="D445" s="11" t="s">
        <v>12</v>
      </c>
      <c r="E445" s="11" t="s">
        <v>29</v>
      </c>
      <c r="F445" s="11">
        <v>40</v>
      </c>
      <c r="G445" s="11">
        <v>148475.35</v>
      </c>
      <c r="H445" s="11">
        <v>3</v>
      </c>
      <c r="I445" s="12">
        <v>91</v>
      </c>
      <c r="J445" s="15" t="str">
        <f>IF(Table1[[#This Row],[Treatment Cost]]&gt;75000,"HIGH COST","LOW COST")</f>
        <v>HIGH COST</v>
      </c>
      <c r="K445" s="15" t="str">
        <f>IF(Table1[[#This Row],[Age]]&gt;=60,"Senior Citizen",IF(AND(Table1[[#This Row],[Age]]&gt;=18,Table1[[#This Row],[Age]]&lt;60),"Adult",IF(Table1[[#This Row],[Age]]&lt;18,"Child")))</f>
        <v>Adult</v>
      </c>
      <c r="L445" s="19"/>
    </row>
    <row r="446" spans="1:12" x14ac:dyDescent="0.25">
      <c r="A446" s="11" t="s">
        <v>471</v>
      </c>
      <c r="B446" s="11" t="s">
        <v>34</v>
      </c>
      <c r="C446" s="11" t="s">
        <v>20</v>
      </c>
      <c r="D446" s="11" t="s">
        <v>12</v>
      </c>
      <c r="E446" s="11" t="s">
        <v>17</v>
      </c>
      <c r="F446" s="11">
        <v>37</v>
      </c>
      <c r="G446" s="11">
        <v>87343.56</v>
      </c>
      <c r="H446" s="11">
        <v>21</v>
      </c>
      <c r="I446" s="12">
        <v>82</v>
      </c>
      <c r="J446" s="15" t="str">
        <f>IF(Table1[[#This Row],[Treatment Cost]]&gt;75000,"HIGH COST","LOW COST")</f>
        <v>HIGH COST</v>
      </c>
      <c r="K446" s="15" t="str">
        <f>IF(Table1[[#This Row],[Age]]&gt;=60,"Senior Citizen",IF(AND(Table1[[#This Row],[Age]]&gt;=18,Table1[[#This Row],[Age]]&lt;60),"Adult",IF(Table1[[#This Row],[Age]]&lt;18,"Child")))</f>
        <v>Adult</v>
      </c>
      <c r="L446" s="19"/>
    </row>
    <row r="447" spans="1:12" x14ac:dyDescent="0.25">
      <c r="A447" s="11" t="s">
        <v>472</v>
      </c>
      <c r="B447" s="11" t="s">
        <v>34</v>
      </c>
      <c r="C447" s="11" t="s">
        <v>23</v>
      </c>
      <c r="D447" s="11" t="s">
        <v>24</v>
      </c>
      <c r="E447" s="11" t="s">
        <v>29</v>
      </c>
      <c r="F447" s="11">
        <v>65</v>
      </c>
      <c r="G447" s="11">
        <v>187441.77</v>
      </c>
      <c r="H447" s="11">
        <v>18</v>
      </c>
      <c r="I447" s="12">
        <v>47</v>
      </c>
      <c r="J447" s="15" t="str">
        <f>IF(Table1[[#This Row],[Treatment Cost]]&gt;75000,"HIGH COST","LOW COST")</f>
        <v>HIGH COST</v>
      </c>
      <c r="K447" s="15" t="str">
        <f>IF(Table1[[#This Row],[Age]]&gt;=60,"Senior Citizen",IF(AND(Table1[[#This Row],[Age]]&gt;=18,Table1[[#This Row],[Age]]&lt;60),"Adult",IF(Table1[[#This Row],[Age]]&lt;18,"Child")))</f>
        <v>Senior Citizen</v>
      </c>
      <c r="L447" s="19"/>
    </row>
    <row r="448" spans="1:12" x14ac:dyDescent="0.25">
      <c r="A448" s="11" t="s">
        <v>473</v>
      </c>
      <c r="B448" s="11" t="s">
        <v>36</v>
      </c>
      <c r="C448" s="11" t="s">
        <v>20</v>
      </c>
      <c r="D448" s="11" t="s">
        <v>21</v>
      </c>
      <c r="E448" s="11" t="s">
        <v>13</v>
      </c>
      <c r="F448" s="11">
        <v>29</v>
      </c>
      <c r="G448" s="11">
        <v>166090.72</v>
      </c>
      <c r="H448" s="11">
        <v>8</v>
      </c>
      <c r="I448" s="12">
        <v>83</v>
      </c>
      <c r="J448" s="15" t="str">
        <f>IF(Table1[[#This Row],[Treatment Cost]]&gt;75000,"HIGH COST","LOW COST")</f>
        <v>HIGH COST</v>
      </c>
      <c r="K448" s="15" t="str">
        <f>IF(Table1[[#This Row],[Age]]&gt;=60,"Senior Citizen",IF(AND(Table1[[#This Row],[Age]]&gt;=18,Table1[[#This Row],[Age]]&lt;60),"Adult",IF(Table1[[#This Row],[Age]]&lt;18,"Child")))</f>
        <v>Adult</v>
      </c>
      <c r="L448" s="19"/>
    </row>
    <row r="449" spans="1:12" x14ac:dyDescent="0.25">
      <c r="A449" s="11" t="s">
        <v>474</v>
      </c>
      <c r="B449" s="11" t="s">
        <v>10</v>
      </c>
      <c r="C449" s="11" t="s">
        <v>23</v>
      </c>
      <c r="D449" s="11" t="s">
        <v>26</v>
      </c>
      <c r="E449" s="11" t="s">
        <v>17</v>
      </c>
      <c r="F449" s="11">
        <v>4</v>
      </c>
      <c r="G449" s="11">
        <v>114719.57</v>
      </c>
      <c r="H449" s="11">
        <v>11</v>
      </c>
      <c r="I449" s="12">
        <v>87</v>
      </c>
      <c r="J449" s="15" t="str">
        <f>IF(Table1[[#This Row],[Treatment Cost]]&gt;75000,"HIGH COST","LOW COST")</f>
        <v>HIGH COST</v>
      </c>
      <c r="K449" s="15" t="str">
        <f>IF(Table1[[#This Row],[Age]]&gt;=60,"Senior Citizen",IF(AND(Table1[[#This Row],[Age]]&gt;=18,Table1[[#This Row],[Age]]&lt;60),"Adult",IF(Table1[[#This Row],[Age]]&lt;18,"Child")))</f>
        <v>Child</v>
      </c>
      <c r="L449" s="19"/>
    </row>
    <row r="450" spans="1:12" x14ac:dyDescent="0.25">
      <c r="A450" s="11" t="s">
        <v>475</v>
      </c>
      <c r="B450" s="11" t="s">
        <v>19</v>
      </c>
      <c r="C450" s="11" t="s">
        <v>40</v>
      </c>
      <c r="D450" s="11" t="s">
        <v>26</v>
      </c>
      <c r="E450" s="11" t="s">
        <v>13</v>
      </c>
      <c r="F450" s="11">
        <v>88</v>
      </c>
      <c r="G450" s="11">
        <v>62991.199999999997</v>
      </c>
      <c r="H450" s="11">
        <v>17</v>
      </c>
      <c r="I450" s="12">
        <v>49</v>
      </c>
      <c r="J450" s="15" t="str">
        <f>IF(Table1[[#This Row],[Treatment Cost]]&gt;75000,"HIGH COST","LOW COST")</f>
        <v>LOW COST</v>
      </c>
      <c r="K450" s="15" t="str">
        <f>IF(Table1[[#This Row],[Age]]&gt;=60,"Senior Citizen",IF(AND(Table1[[#This Row],[Age]]&gt;=18,Table1[[#This Row],[Age]]&lt;60),"Adult",IF(Table1[[#This Row],[Age]]&lt;18,"Child")))</f>
        <v>Senior Citizen</v>
      </c>
      <c r="L450" s="19"/>
    </row>
    <row r="451" spans="1:12" x14ac:dyDescent="0.25">
      <c r="A451" s="11" t="s">
        <v>476</v>
      </c>
      <c r="B451" s="11" t="s">
        <v>31</v>
      </c>
      <c r="C451" s="11" t="s">
        <v>23</v>
      </c>
      <c r="D451" s="11" t="s">
        <v>12</v>
      </c>
      <c r="E451" s="11" t="s">
        <v>29</v>
      </c>
      <c r="F451" s="11">
        <v>15</v>
      </c>
      <c r="G451" s="11">
        <v>92547.92</v>
      </c>
      <c r="H451" s="11">
        <v>19</v>
      </c>
      <c r="I451" s="12">
        <v>43</v>
      </c>
      <c r="J451" s="15" t="str">
        <f>IF(Table1[[#This Row],[Treatment Cost]]&gt;75000,"HIGH COST","LOW COST")</f>
        <v>HIGH COST</v>
      </c>
      <c r="K451" s="15" t="str">
        <f>IF(Table1[[#This Row],[Age]]&gt;=60,"Senior Citizen",IF(AND(Table1[[#This Row],[Age]]&gt;=18,Table1[[#This Row],[Age]]&lt;60),"Adult",IF(Table1[[#This Row],[Age]]&lt;18,"Child")))</f>
        <v>Child</v>
      </c>
      <c r="L451" s="19"/>
    </row>
    <row r="452" spans="1:12" x14ac:dyDescent="0.25">
      <c r="A452" s="11" t="s">
        <v>477</v>
      </c>
      <c r="B452" s="11" t="s">
        <v>19</v>
      </c>
      <c r="C452" s="11" t="s">
        <v>23</v>
      </c>
      <c r="D452" s="11" t="s">
        <v>21</v>
      </c>
      <c r="E452" s="11" t="s">
        <v>29</v>
      </c>
      <c r="F452" s="11">
        <v>6</v>
      </c>
      <c r="G452" s="11">
        <v>51355.74</v>
      </c>
      <c r="H452" s="11">
        <v>16</v>
      </c>
      <c r="I452" s="12">
        <v>82</v>
      </c>
      <c r="J452" s="15" t="str">
        <f>IF(Table1[[#This Row],[Treatment Cost]]&gt;75000,"HIGH COST","LOW COST")</f>
        <v>LOW COST</v>
      </c>
      <c r="K452" s="15" t="str">
        <f>IF(Table1[[#This Row],[Age]]&gt;=60,"Senior Citizen",IF(AND(Table1[[#This Row],[Age]]&gt;=18,Table1[[#This Row],[Age]]&lt;60),"Adult",IF(Table1[[#This Row],[Age]]&lt;18,"Child")))</f>
        <v>Child</v>
      </c>
      <c r="L452" s="19"/>
    </row>
    <row r="453" spans="1:12" x14ac:dyDescent="0.25">
      <c r="A453" s="11" t="s">
        <v>478</v>
      </c>
      <c r="B453" s="11" t="s">
        <v>34</v>
      </c>
      <c r="C453" s="11" t="s">
        <v>11</v>
      </c>
      <c r="D453" s="11" t="s">
        <v>12</v>
      </c>
      <c r="E453" s="11" t="s">
        <v>29</v>
      </c>
      <c r="F453" s="11">
        <v>46</v>
      </c>
      <c r="G453" s="11">
        <v>199853.71</v>
      </c>
      <c r="H453" s="11">
        <v>8</v>
      </c>
      <c r="I453" s="12">
        <v>78</v>
      </c>
      <c r="J453" s="15" t="str">
        <f>IF(Table1[[#This Row],[Treatment Cost]]&gt;75000,"HIGH COST","LOW COST")</f>
        <v>HIGH COST</v>
      </c>
      <c r="K453" s="15" t="str">
        <f>IF(Table1[[#This Row],[Age]]&gt;=60,"Senior Citizen",IF(AND(Table1[[#This Row],[Age]]&gt;=18,Table1[[#This Row],[Age]]&lt;60),"Adult",IF(Table1[[#This Row],[Age]]&lt;18,"Child")))</f>
        <v>Adult</v>
      </c>
      <c r="L453" s="19"/>
    </row>
    <row r="454" spans="1:12" x14ac:dyDescent="0.25">
      <c r="A454" s="11" t="s">
        <v>479</v>
      </c>
      <c r="B454" s="11" t="s">
        <v>31</v>
      </c>
      <c r="C454" s="11" t="s">
        <v>40</v>
      </c>
      <c r="D454" s="11" t="s">
        <v>21</v>
      </c>
      <c r="E454" s="11" t="s">
        <v>29</v>
      </c>
      <c r="F454" s="11">
        <v>61</v>
      </c>
      <c r="G454" s="11">
        <v>148918.47</v>
      </c>
      <c r="H454" s="11">
        <v>10</v>
      </c>
      <c r="I454" s="12">
        <v>85</v>
      </c>
      <c r="J454" s="15" t="str">
        <f>IF(Table1[[#This Row],[Treatment Cost]]&gt;75000,"HIGH COST","LOW COST")</f>
        <v>HIGH COST</v>
      </c>
      <c r="K454" s="15" t="str">
        <f>IF(Table1[[#This Row],[Age]]&gt;=60,"Senior Citizen",IF(AND(Table1[[#This Row],[Age]]&gt;=18,Table1[[#This Row],[Age]]&lt;60),"Adult",IF(Table1[[#This Row],[Age]]&lt;18,"Child")))</f>
        <v>Senior Citizen</v>
      </c>
      <c r="L454" s="19"/>
    </row>
    <row r="455" spans="1:12" x14ac:dyDescent="0.25">
      <c r="A455" s="11" t="s">
        <v>480</v>
      </c>
      <c r="B455" s="11" t="s">
        <v>10</v>
      </c>
      <c r="C455" s="11" t="s">
        <v>23</v>
      </c>
      <c r="D455" s="11" t="s">
        <v>16</v>
      </c>
      <c r="E455" s="11" t="s">
        <v>13</v>
      </c>
      <c r="F455" s="11">
        <v>83</v>
      </c>
      <c r="G455" s="11">
        <v>33787.760000000002</v>
      </c>
      <c r="H455" s="11">
        <v>7</v>
      </c>
      <c r="I455" s="12">
        <v>89</v>
      </c>
      <c r="J455" s="15" t="str">
        <f>IF(Table1[[#This Row],[Treatment Cost]]&gt;75000,"HIGH COST","LOW COST")</f>
        <v>LOW COST</v>
      </c>
      <c r="K455" s="15" t="str">
        <f>IF(Table1[[#This Row],[Age]]&gt;=60,"Senior Citizen",IF(AND(Table1[[#This Row],[Age]]&gt;=18,Table1[[#This Row],[Age]]&lt;60),"Adult",IF(Table1[[#This Row],[Age]]&lt;18,"Child")))</f>
        <v>Senior Citizen</v>
      </c>
      <c r="L455" s="19"/>
    </row>
    <row r="456" spans="1:12" x14ac:dyDescent="0.25">
      <c r="A456" s="11" t="s">
        <v>481</v>
      </c>
      <c r="B456" s="11" t="s">
        <v>31</v>
      </c>
      <c r="C456" s="11" t="s">
        <v>11</v>
      </c>
      <c r="D456" s="11" t="s">
        <v>16</v>
      </c>
      <c r="E456" s="11" t="s">
        <v>17</v>
      </c>
      <c r="F456" s="11">
        <v>26</v>
      </c>
      <c r="G456" s="11">
        <v>93480.9</v>
      </c>
      <c r="H456" s="11">
        <v>20</v>
      </c>
      <c r="I456" s="12">
        <v>71</v>
      </c>
      <c r="J456" s="15" t="str">
        <f>IF(Table1[[#This Row],[Treatment Cost]]&gt;75000,"HIGH COST","LOW COST")</f>
        <v>HIGH COST</v>
      </c>
      <c r="K456" s="15" t="str">
        <f>IF(Table1[[#This Row],[Age]]&gt;=60,"Senior Citizen",IF(AND(Table1[[#This Row],[Age]]&gt;=18,Table1[[#This Row],[Age]]&lt;60),"Adult",IF(Table1[[#This Row],[Age]]&lt;18,"Child")))</f>
        <v>Adult</v>
      </c>
      <c r="L456" s="19"/>
    </row>
    <row r="457" spans="1:12" x14ac:dyDescent="0.25">
      <c r="A457" s="11" t="s">
        <v>482</v>
      </c>
      <c r="B457" s="11" t="s">
        <v>31</v>
      </c>
      <c r="C457" s="11" t="s">
        <v>40</v>
      </c>
      <c r="D457" s="11" t="s">
        <v>16</v>
      </c>
      <c r="E457" s="11" t="s">
        <v>29</v>
      </c>
      <c r="F457" s="11">
        <v>9</v>
      </c>
      <c r="G457" s="11">
        <v>21007.86</v>
      </c>
      <c r="H457" s="11">
        <v>13</v>
      </c>
      <c r="I457" s="12">
        <v>41</v>
      </c>
      <c r="J457" s="15" t="str">
        <f>IF(Table1[[#This Row],[Treatment Cost]]&gt;75000,"HIGH COST","LOW COST")</f>
        <v>LOW COST</v>
      </c>
      <c r="K457" s="15" t="str">
        <f>IF(Table1[[#This Row],[Age]]&gt;=60,"Senior Citizen",IF(AND(Table1[[#This Row],[Age]]&gt;=18,Table1[[#This Row],[Age]]&lt;60),"Adult",IF(Table1[[#This Row],[Age]]&lt;18,"Child")))</f>
        <v>Child</v>
      </c>
      <c r="L457" s="19"/>
    </row>
    <row r="458" spans="1:12" x14ac:dyDescent="0.25">
      <c r="A458" s="11" t="s">
        <v>483</v>
      </c>
      <c r="B458" s="11" t="s">
        <v>31</v>
      </c>
      <c r="C458" s="11" t="s">
        <v>40</v>
      </c>
      <c r="D458" s="11" t="s">
        <v>12</v>
      </c>
      <c r="E458" s="11" t="s">
        <v>29</v>
      </c>
      <c r="F458" s="11">
        <v>78</v>
      </c>
      <c r="G458" s="11">
        <v>91364.17</v>
      </c>
      <c r="H458" s="11">
        <v>9</v>
      </c>
      <c r="I458" s="12">
        <v>68</v>
      </c>
      <c r="J458" s="15" t="str">
        <f>IF(Table1[[#This Row],[Treatment Cost]]&gt;75000,"HIGH COST","LOW COST")</f>
        <v>HIGH COST</v>
      </c>
      <c r="K458" s="15" t="str">
        <f>IF(Table1[[#This Row],[Age]]&gt;=60,"Senior Citizen",IF(AND(Table1[[#This Row],[Age]]&gt;=18,Table1[[#This Row],[Age]]&lt;60),"Adult",IF(Table1[[#This Row],[Age]]&lt;18,"Child")))</f>
        <v>Senior Citizen</v>
      </c>
      <c r="L458" s="19"/>
    </row>
    <row r="459" spans="1:12" x14ac:dyDescent="0.25">
      <c r="A459" s="11" t="s">
        <v>484</v>
      </c>
      <c r="B459" s="11" t="s">
        <v>10</v>
      </c>
      <c r="C459" s="11" t="s">
        <v>23</v>
      </c>
      <c r="D459" s="11" t="s">
        <v>24</v>
      </c>
      <c r="E459" s="11" t="s">
        <v>13</v>
      </c>
      <c r="F459" s="11">
        <v>21</v>
      </c>
      <c r="G459" s="11">
        <v>78053.31</v>
      </c>
      <c r="H459" s="11">
        <v>28</v>
      </c>
      <c r="I459" s="12">
        <v>75</v>
      </c>
      <c r="J459" s="15" t="str">
        <f>IF(Table1[[#This Row],[Treatment Cost]]&gt;75000,"HIGH COST","LOW COST")</f>
        <v>HIGH COST</v>
      </c>
      <c r="K459" s="15" t="str">
        <f>IF(Table1[[#This Row],[Age]]&gt;=60,"Senior Citizen",IF(AND(Table1[[#This Row],[Age]]&gt;=18,Table1[[#This Row],[Age]]&lt;60),"Adult",IF(Table1[[#This Row],[Age]]&lt;18,"Child")))</f>
        <v>Adult</v>
      </c>
      <c r="L459" s="19"/>
    </row>
    <row r="460" spans="1:12" x14ac:dyDescent="0.25">
      <c r="A460" s="11" t="s">
        <v>485</v>
      </c>
      <c r="B460" s="11" t="s">
        <v>19</v>
      </c>
      <c r="C460" s="11" t="s">
        <v>40</v>
      </c>
      <c r="D460" s="11" t="s">
        <v>24</v>
      </c>
      <c r="E460" s="11" t="s">
        <v>17</v>
      </c>
      <c r="F460" s="11">
        <v>7</v>
      </c>
      <c r="G460" s="11">
        <v>53411.87</v>
      </c>
      <c r="H460" s="11">
        <v>11</v>
      </c>
      <c r="I460" s="12">
        <v>87</v>
      </c>
      <c r="J460" s="15" t="str">
        <f>IF(Table1[[#This Row],[Treatment Cost]]&gt;75000,"HIGH COST","LOW COST")</f>
        <v>LOW COST</v>
      </c>
      <c r="K460" s="15" t="str">
        <f>IF(Table1[[#This Row],[Age]]&gt;=60,"Senior Citizen",IF(AND(Table1[[#This Row],[Age]]&gt;=18,Table1[[#This Row],[Age]]&lt;60),"Adult",IF(Table1[[#This Row],[Age]]&lt;18,"Child")))</f>
        <v>Child</v>
      </c>
      <c r="L460" s="19"/>
    </row>
    <row r="461" spans="1:12" x14ac:dyDescent="0.25">
      <c r="A461" s="11" t="s">
        <v>486</v>
      </c>
      <c r="B461" s="11" t="s">
        <v>31</v>
      </c>
      <c r="C461" s="11" t="s">
        <v>23</v>
      </c>
      <c r="D461" s="11" t="s">
        <v>26</v>
      </c>
      <c r="E461" s="11" t="s">
        <v>29</v>
      </c>
      <c r="F461" s="11">
        <v>56</v>
      </c>
      <c r="G461" s="11">
        <v>175047.97</v>
      </c>
      <c r="H461" s="11">
        <v>26</v>
      </c>
      <c r="I461" s="12">
        <v>48</v>
      </c>
      <c r="J461" s="15" t="str">
        <f>IF(Table1[[#This Row],[Treatment Cost]]&gt;75000,"HIGH COST","LOW COST")</f>
        <v>HIGH COST</v>
      </c>
      <c r="K461" s="15" t="str">
        <f>IF(Table1[[#This Row],[Age]]&gt;=60,"Senior Citizen",IF(AND(Table1[[#This Row],[Age]]&gt;=18,Table1[[#This Row],[Age]]&lt;60),"Adult",IF(Table1[[#This Row],[Age]]&lt;18,"Child")))</f>
        <v>Adult</v>
      </c>
      <c r="L461" s="19"/>
    </row>
    <row r="462" spans="1:12" x14ac:dyDescent="0.25">
      <c r="A462" s="11" t="s">
        <v>487</v>
      </c>
      <c r="B462" s="11" t="s">
        <v>34</v>
      </c>
      <c r="C462" s="11" t="s">
        <v>40</v>
      </c>
      <c r="D462" s="11" t="s">
        <v>21</v>
      </c>
      <c r="E462" s="11" t="s">
        <v>13</v>
      </c>
      <c r="F462" s="11">
        <v>73</v>
      </c>
      <c r="G462" s="11">
        <v>11832.16</v>
      </c>
      <c r="H462" s="11">
        <v>13</v>
      </c>
      <c r="I462" s="12">
        <v>68</v>
      </c>
      <c r="J462" s="15" t="str">
        <f>IF(Table1[[#This Row],[Treatment Cost]]&gt;75000,"HIGH COST","LOW COST")</f>
        <v>LOW COST</v>
      </c>
      <c r="K462" s="15" t="str">
        <f>IF(Table1[[#This Row],[Age]]&gt;=60,"Senior Citizen",IF(AND(Table1[[#This Row],[Age]]&gt;=18,Table1[[#This Row],[Age]]&lt;60),"Adult",IF(Table1[[#This Row],[Age]]&lt;18,"Child")))</f>
        <v>Senior Citizen</v>
      </c>
      <c r="L462" s="19"/>
    </row>
    <row r="463" spans="1:12" x14ac:dyDescent="0.25">
      <c r="A463" s="11" t="s">
        <v>488</v>
      </c>
      <c r="B463" s="11" t="s">
        <v>19</v>
      </c>
      <c r="C463" s="11" t="s">
        <v>40</v>
      </c>
      <c r="D463" s="11" t="s">
        <v>16</v>
      </c>
      <c r="E463" s="11" t="s">
        <v>29</v>
      </c>
      <c r="F463" s="11">
        <v>49</v>
      </c>
      <c r="G463" s="11">
        <v>71245.39</v>
      </c>
      <c r="H463" s="11">
        <v>11</v>
      </c>
      <c r="I463" s="12">
        <v>60</v>
      </c>
      <c r="J463" s="15" t="str">
        <f>IF(Table1[[#This Row],[Treatment Cost]]&gt;75000,"HIGH COST","LOW COST")</f>
        <v>LOW COST</v>
      </c>
      <c r="K463" s="15" t="str">
        <f>IF(Table1[[#This Row],[Age]]&gt;=60,"Senior Citizen",IF(AND(Table1[[#This Row],[Age]]&gt;=18,Table1[[#This Row],[Age]]&lt;60),"Adult",IF(Table1[[#This Row],[Age]]&lt;18,"Child")))</f>
        <v>Adult</v>
      </c>
      <c r="L463" s="19"/>
    </row>
    <row r="464" spans="1:12" x14ac:dyDescent="0.25">
      <c r="A464" s="11" t="s">
        <v>489</v>
      </c>
      <c r="B464" s="11" t="s">
        <v>34</v>
      </c>
      <c r="C464" s="11" t="s">
        <v>11</v>
      </c>
      <c r="D464" s="11" t="s">
        <v>24</v>
      </c>
      <c r="E464" s="11" t="s">
        <v>17</v>
      </c>
      <c r="F464" s="11">
        <v>3</v>
      </c>
      <c r="G464" s="11">
        <v>167379.32</v>
      </c>
      <c r="H464" s="11">
        <v>10</v>
      </c>
      <c r="I464" s="12">
        <v>76</v>
      </c>
      <c r="J464" s="15" t="str">
        <f>IF(Table1[[#This Row],[Treatment Cost]]&gt;75000,"HIGH COST","LOW COST")</f>
        <v>HIGH COST</v>
      </c>
      <c r="K464" s="15" t="str">
        <f>IF(Table1[[#This Row],[Age]]&gt;=60,"Senior Citizen",IF(AND(Table1[[#This Row],[Age]]&gt;=18,Table1[[#This Row],[Age]]&lt;60),"Adult",IF(Table1[[#This Row],[Age]]&lt;18,"Child")))</f>
        <v>Child</v>
      </c>
      <c r="L464" s="19"/>
    </row>
    <row r="465" spans="1:12" x14ac:dyDescent="0.25">
      <c r="A465" s="11" t="s">
        <v>490</v>
      </c>
      <c r="B465" s="11" t="s">
        <v>31</v>
      </c>
      <c r="C465" s="11" t="s">
        <v>11</v>
      </c>
      <c r="D465" s="11" t="s">
        <v>12</v>
      </c>
      <c r="E465" s="11" t="s">
        <v>17</v>
      </c>
      <c r="F465" s="11">
        <v>40</v>
      </c>
      <c r="G465" s="11">
        <v>160480.32000000001</v>
      </c>
      <c r="H465" s="11">
        <v>17</v>
      </c>
      <c r="I465" s="12">
        <v>62</v>
      </c>
      <c r="J465" s="15" t="str">
        <f>IF(Table1[[#This Row],[Treatment Cost]]&gt;75000,"HIGH COST","LOW COST")</f>
        <v>HIGH COST</v>
      </c>
      <c r="K465" s="15" t="str">
        <f>IF(Table1[[#This Row],[Age]]&gt;=60,"Senior Citizen",IF(AND(Table1[[#This Row],[Age]]&gt;=18,Table1[[#This Row],[Age]]&lt;60),"Adult",IF(Table1[[#This Row],[Age]]&lt;18,"Child")))</f>
        <v>Adult</v>
      </c>
      <c r="L465" s="19"/>
    </row>
    <row r="466" spans="1:12" x14ac:dyDescent="0.25">
      <c r="A466" s="11" t="s">
        <v>491</v>
      </c>
      <c r="B466" s="11" t="s">
        <v>31</v>
      </c>
      <c r="C466" s="11" t="s">
        <v>11</v>
      </c>
      <c r="D466" s="11" t="s">
        <v>12</v>
      </c>
      <c r="E466" s="11" t="s">
        <v>29</v>
      </c>
      <c r="F466" s="11">
        <v>77</v>
      </c>
      <c r="G466" s="11">
        <v>26180.15</v>
      </c>
      <c r="H466" s="11">
        <v>16</v>
      </c>
      <c r="I466" s="12">
        <v>66</v>
      </c>
      <c r="J466" s="15" t="str">
        <f>IF(Table1[[#This Row],[Treatment Cost]]&gt;75000,"HIGH COST","LOW COST")</f>
        <v>LOW COST</v>
      </c>
      <c r="K466" s="15" t="str">
        <f>IF(Table1[[#This Row],[Age]]&gt;=60,"Senior Citizen",IF(AND(Table1[[#This Row],[Age]]&gt;=18,Table1[[#This Row],[Age]]&lt;60),"Adult",IF(Table1[[#This Row],[Age]]&lt;18,"Child")))</f>
        <v>Senior Citizen</v>
      </c>
      <c r="L466" s="19"/>
    </row>
    <row r="467" spans="1:12" x14ac:dyDescent="0.25">
      <c r="A467" s="11" t="s">
        <v>492</v>
      </c>
      <c r="B467" s="11" t="s">
        <v>10</v>
      </c>
      <c r="C467" s="11" t="s">
        <v>20</v>
      </c>
      <c r="D467" s="11" t="s">
        <v>21</v>
      </c>
      <c r="E467" s="11" t="s">
        <v>17</v>
      </c>
      <c r="F467" s="11">
        <v>53</v>
      </c>
      <c r="G467" s="11">
        <v>153593.79999999999</v>
      </c>
      <c r="H467" s="11">
        <v>5</v>
      </c>
      <c r="I467" s="12">
        <v>49</v>
      </c>
      <c r="J467" s="15" t="str">
        <f>IF(Table1[[#This Row],[Treatment Cost]]&gt;75000,"HIGH COST","LOW COST")</f>
        <v>HIGH COST</v>
      </c>
      <c r="K467" s="15" t="str">
        <f>IF(Table1[[#This Row],[Age]]&gt;=60,"Senior Citizen",IF(AND(Table1[[#This Row],[Age]]&gt;=18,Table1[[#This Row],[Age]]&lt;60),"Adult",IF(Table1[[#This Row],[Age]]&lt;18,"Child")))</f>
        <v>Adult</v>
      </c>
      <c r="L467" s="19"/>
    </row>
    <row r="468" spans="1:12" x14ac:dyDescent="0.25">
      <c r="A468" s="11" t="s">
        <v>493</v>
      </c>
      <c r="B468" s="11" t="s">
        <v>19</v>
      </c>
      <c r="C468" s="11" t="s">
        <v>11</v>
      </c>
      <c r="D468" s="11" t="s">
        <v>21</v>
      </c>
      <c r="E468" s="11" t="s">
        <v>13</v>
      </c>
      <c r="F468" s="11">
        <v>38</v>
      </c>
      <c r="G468" s="11">
        <v>118133.91</v>
      </c>
      <c r="H468" s="11">
        <v>12</v>
      </c>
      <c r="I468" s="12">
        <v>99</v>
      </c>
      <c r="J468" s="15" t="str">
        <f>IF(Table1[[#This Row],[Treatment Cost]]&gt;75000,"HIGH COST","LOW COST")</f>
        <v>HIGH COST</v>
      </c>
      <c r="K468" s="15" t="str">
        <f>IF(Table1[[#This Row],[Age]]&gt;=60,"Senior Citizen",IF(AND(Table1[[#This Row],[Age]]&gt;=18,Table1[[#This Row],[Age]]&lt;60),"Adult",IF(Table1[[#This Row],[Age]]&lt;18,"Child")))</f>
        <v>Adult</v>
      </c>
      <c r="L468" s="19"/>
    </row>
    <row r="469" spans="1:12" x14ac:dyDescent="0.25">
      <c r="A469" s="11" t="s">
        <v>494</v>
      </c>
      <c r="B469" s="11" t="s">
        <v>15</v>
      </c>
      <c r="C469" s="11" t="s">
        <v>40</v>
      </c>
      <c r="D469" s="11" t="s">
        <v>21</v>
      </c>
      <c r="E469" s="11" t="s">
        <v>29</v>
      </c>
      <c r="F469" s="11">
        <v>76</v>
      </c>
      <c r="G469" s="11">
        <v>69602.539999999994</v>
      </c>
      <c r="H469" s="11">
        <v>2</v>
      </c>
      <c r="I469" s="12">
        <v>82</v>
      </c>
      <c r="J469" s="15" t="str">
        <f>IF(Table1[[#This Row],[Treatment Cost]]&gt;75000,"HIGH COST","LOW COST")</f>
        <v>LOW COST</v>
      </c>
      <c r="K469" s="15" t="str">
        <f>IF(Table1[[#This Row],[Age]]&gt;=60,"Senior Citizen",IF(AND(Table1[[#This Row],[Age]]&gt;=18,Table1[[#This Row],[Age]]&lt;60),"Adult",IF(Table1[[#This Row],[Age]]&lt;18,"Child")))</f>
        <v>Senior Citizen</v>
      </c>
      <c r="L469" s="19"/>
    </row>
    <row r="470" spans="1:12" x14ac:dyDescent="0.25">
      <c r="A470" s="11" t="s">
        <v>495</v>
      </c>
      <c r="B470" s="11" t="s">
        <v>31</v>
      </c>
      <c r="C470" s="11" t="s">
        <v>40</v>
      </c>
      <c r="D470" s="11" t="s">
        <v>26</v>
      </c>
      <c r="E470" s="11" t="s">
        <v>13</v>
      </c>
      <c r="F470" s="11">
        <v>1</v>
      </c>
      <c r="G470" s="11">
        <v>149519.22</v>
      </c>
      <c r="H470" s="11">
        <v>9</v>
      </c>
      <c r="I470" s="12">
        <v>86</v>
      </c>
      <c r="J470" s="15" t="str">
        <f>IF(Table1[[#This Row],[Treatment Cost]]&gt;75000,"HIGH COST","LOW COST")</f>
        <v>HIGH COST</v>
      </c>
      <c r="K470" s="15" t="str">
        <f>IF(Table1[[#This Row],[Age]]&gt;=60,"Senior Citizen",IF(AND(Table1[[#This Row],[Age]]&gt;=18,Table1[[#This Row],[Age]]&lt;60),"Adult",IF(Table1[[#This Row],[Age]]&lt;18,"Child")))</f>
        <v>Child</v>
      </c>
      <c r="L470" s="19"/>
    </row>
    <row r="471" spans="1:12" x14ac:dyDescent="0.25">
      <c r="A471" s="11" t="s">
        <v>496</v>
      </c>
      <c r="B471" s="11" t="s">
        <v>10</v>
      </c>
      <c r="C471" s="11" t="s">
        <v>40</v>
      </c>
      <c r="D471" s="11" t="s">
        <v>12</v>
      </c>
      <c r="E471" s="11" t="s">
        <v>29</v>
      </c>
      <c r="F471" s="11">
        <v>20</v>
      </c>
      <c r="G471" s="11">
        <v>21769.38</v>
      </c>
      <c r="H471" s="11">
        <v>5</v>
      </c>
      <c r="I471" s="12">
        <v>85</v>
      </c>
      <c r="J471" s="15" t="str">
        <f>IF(Table1[[#This Row],[Treatment Cost]]&gt;75000,"HIGH COST","LOW COST")</f>
        <v>LOW COST</v>
      </c>
      <c r="K471" s="15" t="str">
        <f>IF(Table1[[#This Row],[Age]]&gt;=60,"Senior Citizen",IF(AND(Table1[[#This Row],[Age]]&gt;=18,Table1[[#This Row],[Age]]&lt;60),"Adult",IF(Table1[[#This Row],[Age]]&lt;18,"Child")))</f>
        <v>Adult</v>
      </c>
      <c r="L471" s="19"/>
    </row>
    <row r="472" spans="1:12" x14ac:dyDescent="0.25">
      <c r="A472" s="11" t="s">
        <v>497</v>
      </c>
      <c r="B472" s="11" t="s">
        <v>36</v>
      </c>
      <c r="C472" s="11" t="s">
        <v>23</v>
      </c>
      <c r="D472" s="11" t="s">
        <v>12</v>
      </c>
      <c r="E472" s="11" t="s">
        <v>17</v>
      </c>
      <c r="F472" s="11">
        <v>24</v>
      </c>
      <c r="G472" s="11">
        <v>137006.32</v>
      </c>
      <c r="H472" s="11">
        <v>15</v>
      </c>
      <c r="I472" s="12">
        <v>81</v>
      </c>
      <c r="J472" s="15" t="str">
        <f>IF(Table1[[#This Row],[Treatment Cost]]&gt;75000,"HIGH COST","LOW COST")</f>
        <v>HIGH COST</v>
      </c>
      <c r="K472" s="15" t="str">
        <f>IF(Table1[[#This Row],[Age]]&gt;=60,"Senior Citizen",IF(AND(Table1[[#This Row],[Age]]&gt;=18,Table1[[#This Row],[Age]]&lt;60),"Adult",IF(Table1[[#This Row],[Age]]&lt;18,"Child")))</f>
        <v>Adult</v>
      </c>
      <c r="L472" s="19"/>
    </row>
    <row r="473" spans="1:12" x14ac:dyDescent="0.25">
      <c r="A473" s="11" t="s">
        <v>498</v>
      </c>
      <c r="B473" s="11" t="s">
        <v>36</v>
      </c>
      <c r="C473" s="11" t="s">
        <v>11</v>
      </c>
      <c r="D473" s="11" t="s">
        <v>12</v>
      </c>
      <c r="E473" s="11" t="s">
        <v>17</v>
      </c>
      <c r="F473" s="11">
        <v>2</v>
      </c>
      <c r="G473" s="11">
        <v>122489.12</v>
      </c>
      <c r="H473" s="11">
        <v>4</v>
      </c>
      <c r="I473" s="12">
        <v>42</v>
      </c>
      <c r="J473" s="15" t="str">
        <f>IF(Table1[[#This Row],[Treatment Cost]]&gt;75000,"HIGH COST","LOW COST")</f>
        <v>HIGH COST</v>
      </c>
      <c r="K473" s="15" t="str">
        <f>IF(Table1[[#This Row],[Age]]&gt;=60,"Senior Citizen",IF(AND(Table1[[#This Row],[Age]]&gt;=18,Table1[[#This Row],[Age]]&lt;60),"Adult",IF(Table1[[#This Row],[Age]]&lt;18,"Child")))</f>
        <v>Child</v>
      </c>
      <c r="L473" s="19"/>
    </row>
    <row r="474" spans="1:12" x14ac:dyDescent="0.25">
      <c r="A474" s="11" t="s">
        <v>499</v>
      </c>
      <c r="B474" s="11" t="s">
        <v>10</v>
      </c>
      <c r="C474" s="11" t="s">
        <v>40</v>
      </c>
      <c r="D474" s="11" t="s">
        <v>26</v>
      </c>
      <c r="E474" s="11" t="s">
        <v>17</v>
      </c>
      <c r="F474" s="11">
        <v>50</v>
      </c>
      <c r="G474" s="11">
        <v>191352.7</v>
      </c>
      <c r="H474" s="11">
        <v>8</v>
      </c>
      <c r="I474" s="12">
        <v>73</v>
      </c>
      <c r="J474" s="15" t="str">
        <f>IF(Table1[[#This Row],[Treatment Cost]]&gt;75000,"HIGH COST","LOW COST")</f>
        <v>HIGH COST</v>
      </c>
      <c r="K474" s="15" t="str">
        <f>IF(Table1[[#This Row],[Age]]&gt;=60,"Senior Citizen",IF(AND(Table1[[#This Row],[Age]]&gt;=18,Table1[[#This Row],[Age]]&lt;60),"Adult",IF(Table1[[#This Row],[Age]]&lt;18,"Child")))</f>
        <v>Adult</v>
      </c>
      <c r="L474" s="19"/>
    </row>
    <row r="475" spans="1:12" x14ac:dyDescent="0.25">
      <c r="A475" s="11" t="s">
        <v>500</v>
      </c>
      <c r="B475" s="11" t="s">
        <v>34</v>
      </c>
      <c r="C475" s="11" t="s">
        <v>20</v>
      </c>
      <c r="D475" s="11" t="s">
        <v>24</v>
      </c>
      <c r="E475" s="11" t="s">
        <v>17</v>
      </c>
      <c r="F475" s="11">
        <v>57</v>
      </c>
      <c r="G475" s="11">
        <v>146935.99</v>
      </c>
      <c r="H475" s="11">
        <v>30</v>
      </c>
      <c r="I475" s="12">
        <v>41</v>
      </c>
      <c r="J475" s="15" t="str">
        <f>IF(Table1[[#This Row],[Treatment Cost]]&gt;75000,"HIGH COST","LOW COST")</f>
        <v>HIGH COST</v>
      </c>
      <c r="K475" s="15" t="str">
        <f>IF(Table1[[#This Row],[Age]]&gt;=60,"Senior Citizen",IF(AND(Table1[[#This Row],[Age]]&gt;=18,Table1[[#This Row],[Age]]&lt;60),"Adult",IF(Table1[[#This Row],[Age]]&lt;18,"Child")))</f>
        <v>Adult</v>
      </c>
      <c r="L475" s="19"/>
    </row>
    <row r="476" spans="1:12" x14ac:dyDescent="0.25">
      <c r="A476" s="11" t="s">
        <v>501</v>
      </c>
      <c r="B476" s="11" t="s">
        <v>31</v>
      </c>
      <c r="C476" s="11" t="s">
        <v>11</v>
      </c>
      <c r="D476" s="11" t="s">
        <v>16</v>
      </c>
      <c r="E476" s="11" t="s">
        <v>13</v>
      </c>
      <c r="F476" s="11">
        <v>54</v>
      </c>
      <c r="G476" s="11">
        <v>158997.92000000001</v>
      </c>
      <c r="H476" s="11">
        <v>12</v>
      </c>
      <c r="I476" s="12">
        <v>85</v>
      </c>
      <c r="J476" s="15" t="str">
        <f>IF(Table1[[#This Row],[Treatment Cost]]&gt;75000,"HIGH COST","LOW COST")</f>
        <v>HIGH COST</v>
      </c>
      <c r="K476" s="15" t="str">
        <f>IF(Table1[[#This Row],[Age]]&gt;=60,"Senior Citizen",IF(AND(Table1[[#This Row],[Age]]&gt;=18,Table1[[#This Row],[Age]]&lt;60),"Adult",IF(Table1[[#This Row],[Age]]&lt;18,"Child")))</f>
        <v>Adult</v>
      </c>
      <c r="L476" s="19"/>
    </row>
    <row r="477" spans="1:12" x14ac:dyDescent="0.25">
      <c r="A477" s="11" t="s">
        <v>502</v>
      </c>
      <c r="B477" s="11" t="s">
        <v>36</v>
      </c>
      <c r="C477" s="11" t="s">
        <v>23</v>
      </c>
      <c r="D477" s="11" t="s">
        <v>24</v>
      </c>
      <c r="E477" s="11" t="s">
        <v>17</v>
      </c>
      <c r="F477" s="11">
        <v>88</v>
      </c>
      <c r="G477" s="11">
        <v>71868.820000000007</v>
      </c>
      <c r="H477" s="11">
        <v>30</v>
      </c>
      <c r="I477" s="12">
        <v>49</v>
      </c>
      <c r="J477" s="15" t="str">
        <f>IF(Table1[[#This Row],[Treatment Cost]]&gt;75000,"HIGH COST","LOW COST")</f>
        <v>LOW COST</v>
      </c>
      <c r="K477" s="15" t="str">
        <f>IF(Table1[[#This Row],[Age]]&gt;=60,"Senior Citizen",IF(AND(Table1[[#This Row],[Age]]&gt;=18,Table1[[#This Row],[Age]]&lt;60),"Adult",IF(Table1[[#This Row],[Age]]&lt;18,"Child")))</f>
        <v>Senior Citizen</v>
      </c>
      <c r="L477" s="19"/>
    </row>
    <row r="478" spans="1:12" x14ac:dyDescent="0.25">
      <c r="A478" s="11" t="s">
        <v>503</v>
      </c>
      <c r="B478" s="11" t="s">
        <v>31</v>
      </c>
      <c r="C478" s="11" t="s">
        <v>40</v>
      </c>
      <c r="D478" s="11" t="s">
        <v>21</v>
      </c>
      <c r="E478" s="11" t="s">
        <v>29</v>
      </c>
      <c r="F478" s="11">
        <v>15</v>
      </c>
      <c r="G478" s="11">
        <v>155880.26</v>
      </c>
      <c r="H478" s="11">
        <v>4</v>
      </c>
      <c r="I478" s="12">
        <v>74</v>
      </c>
      <c r="J478" s="15" t="str">
        <f>IF(Table1[[#This Row],[Treatment Cost]]&gt;75000,"HIGH COST","LOW COST")</f>
        <v>HIGH COST</v>
      </c>
      <c r="K478" s="15" t="str">
        <f>IF(Table1[[#This Row],[Age]]&gt;=60,"Senior Citizen",IF(AND(Table1[[#This Row],[Age]]&gt;=18,Table1[[#This Row],[Age]]&lt;60),"Adult",IF(Table1[[#This Row],[Age]]&lt;18,"Child")))</f>
        <v>Child</v>
      </c>
      <c r="L478" s="19"/>
    </row>
    <row r="479" spans="1:12" x14ac:dyDescent="0.25">
      <c r="A479" s="11" t="s">
        <v>504</v>
      </c>
      <c r="B479" s="11" t="s">
        <v>15</v>
      </c>
      <c r="C479" s="11" t="s">
        <v>20</v>
      </c>
      <c r="D479" s="11" t="s">
        <v>24</v>
      </c>
      <c r="E479" s="11" t="s">
        <v>13</v>
      </c>
      <c r="F479" s="11">
        <v>9</v>
      </c>
      <c r="G479" s="11">
        <v>114222.8</v>
      </c>
      <c r="H479" s="11">
        <v>21</v>
      </c>
      <c r="I479" s="12">
        <v>98</v>
      </c>
      <c r="J479" s="15" t="str">
        <f>IF(Table1[[#This Row],[Treatment Cost]]&gt;75000,"HIGH COST","LOW COST")</f>
        <v>HIGH COST</v>
      </c>
      <c r="K479" s="15" t="str">
        <f>IF(Table1[[#This Row],[Age]]&gt;=60,"Senior Citizen",IF(AND(Table1[[#This Row],[Age]]&gt;=18,Table1[[#This Row],[Age]]&lt;60),"Adult",IF(Table1[[#This Row],[Age]]&lt;18,"Child")))</f>
        <v>Child</v>
      </c>
      <c r="L479" s="19"/>
    </row>
    <row r="480" spans="1:12" x14ac:dyDescent="0.25">
      <c r="A480" s="11" t="s">
        <v>505</v>
      </c>
      <c r="B480" s="11" t="s">
        <v>31</v>
      </c>
      <c r="C480" s="11" t="s">
        <v>11</v>
      </c>
      <c r="D480" s="11" t="s">
        <v>12</v>
      </c>
      <c r="E480" s="11" t="s">
        <v>17</v>
      </c>
      <c r="F480" s="11">
        <v>15</v>
      </c>
      <c r="G480" s="11">
        <v>27089.66</v>
      </c>
      <c r="H480" s="11">
        <v>1</v>
      </c>
      <c r="I480" s="12">
        <v>71</v>
      </c>
      <c r="J480" s="15" t="str">
        <f>IF(Table1[[#This Row],[Treatment Cost]]&gt;75000,"HIGH COST","LOW COST")</f>
        <v>LOW COST</v>
      </c>
      <c r="K480" s="15" t="str">
        <f>IF(Table1[[#This Row],[Age]]&gt;=60,"Senior Citizen",IF(AND(Table1[[#This Row],[Age]]&gt;=18,Table1[[#This Row],[Age]]&lt;60),"Adult",IF(Table1[[#This Row],[Age]]&lt;18,"Child")))</f>
        <v>Child</v>
      </c>
      <c r="L480" s="19"/>
    </row>
    <row r="481" spans="1:12" x14ac:dyDescent="0.25">
      <c r="A481" s="11" t="s">
        <v>506</v>
      </c>
      <c r="B481" s="11" t="s">
        <v>19</v>
      </c>
      <c r="C481" s="11" t="s">
        <v>20</v>
      </c>
      <c r="D481" s="11" t="s">
        <v>24</v>
      </c>
      <c r="E481" s="11" t="s">
        <v>17</v>
      </c>
      <c r="F481" s="11">
        <v>90</v>
      </c>
      <c r="G481" s="11">
        <v>103986.43</v>
      </c>
      <c r="H481" s="11">
        <v>20</v>
      </c>
      <c r="I481" s="12">
        <v>74</v>
      </c>
      <c r="J481" s="15" t="str">
        <f>IF(Table1[[#This Row],[Treatment Cost]]&gt;75000,"HIGH COST","LOW COST")</f>
        <v>HIGH COST</v>
      </c>
      <c r="K481" s="15" t="str">
        <f>IF(Table1[[#This Row],[Age]]&gt;=60,"Senior Citizen",IF(AND(Table1[[#This Row],[Age]]&gt;=18,Table1[[#This Row],[Age]]&lt;60),"Adult",IF(Table1[[#This Row],[Age]]&lt;18,"Child")))</f>
        <v>Senior Citizen</v>
      </c>
      <c r="L481" s="19"/>
    </row>
    <row r="482" spans="1:12" x14ac:dyDescent="0.25">
      <c r="A482" s="11" t="s">
        <v>507</v>
      </c>
      <c r="B482" s="11" t="s">
        <v>36</v>
      </c>
      <c r="C482" s="11" t="s">
        <v>23</v>
      </c>
      <c r="D482" s="11" t="s">
        <v>21</v>
      </c>
      <c r="E482" s="11" t="s">
        <v>17</v>
      </c>
      <c r="F482" s="11">
        <v>84</v>
      </c>
      <c r="G482" s="11">
        <v>138622.93</v>
      </c>
      <c r="H482" s="11">
        <v>7</v>
      </c>
      <c r="I482" s="12">
        <v>76</v>
      </c>
      <c r="J482" s="15" t="str">
        <f>IF(Table1[[#This Row],[Treatment Cost]]&gt;75000,"HIGH COST","LOW COST")</f>
        <v>HIGH COST</v>
      </c>
      <c r="K482" s="15" t="str">
        <f>IF(Table1[[#This Row],[Age]]&gt;=60,"Senior Citizen",IF(AND(Table1[[#This Row],[Age]]&gt;=18,Table1[[#This Row],[Age]]&lt;60),"Adult",IF(Table1[[#This Row],[Age]]&lt;18,"Child")))</f>
        <v>Senior Citizen</v>
      </c>
      <c r="L482" s="19"/>
    </row>
    <row r="483" spans="1:12" x14ac:dyDescent="0.25">
      <c r="A483" s="11" t="s">
        <v>508</v>
      </c>
      <c r="B483" s="11" t="s">
        <v>34</v>
      </c>
      <c r="C483" s="11" t="s">
        <v>23</v>
      </c>
      <c r="D483" s="11" t="s">
        <v>16</v>
      </c>
      <c r="E483" s="11" t="s">
        <v>17</v>
      </c>
      <c r="F483" s="11">
        <v>43</v>
      </c>
      <c r="G483" s="11">
        <v>78821.62</v>
      </c>
      <c r="H483" s="11">
        <v>2</v>
      </c>
      <c r="I483" s="12">
        <v>90</v>
      </c>
      <c r="J483" s="15" t="str">
        <f>IF(Table1[[#This Row],[Treatment Cost]]&gt;75000,"HIGH COST","LOW COST")</f>
        <v>HIGH COST</v>
      </c>
      <c r="K483" s="15" t="str">
        <f>IF(Table1[[#This Row],[Age]]&gt;=60,"Senior Citizen",IF(AND(Table1[[#This Row],[Age]]&gt;=18,Table1[[#This Row],[Age]]&lt;60),"Adult",IF(Table1[[#This Row],[Age]]&lt;18,"Child")))</f>
        <v>Adult</v>
      </c>
      <c r="L483" s="19"/>
    </row>
    <row r="484" spans="1:12" x14ac:dyDescent="0.25">
      <c r="A484" s="11" t="s">
        <v>509</v>
      </c>
      <c r="B484" s="11" t="s">
        <v>19</v>
      </c>
      <c r="C484" s="11" t="s">
        <v>11</v>
      </c>
      <c r="D484" s="11" t="s">
        <v>26</v>
      </c>
      <c r="E484" s="11" t="s">
        <v>13</v>
      </c>
      <c r="F484" s="11">
        <v>2</v>
      </c>
      <c r="G484" s="11">
        <v>55543.03</v>
      </c>
      <c r="H484" s="11">
        <v>8</v>
      </c>
      <c r="I484" s="12">
        <v>94</v>
      </c>
      <c r="J484" s="15" t="str">
        <f>IF(Table1[[#This Row],[Treatment Cost]]&gt;75000,"HIGH COST","LOW COST")</f>
        <v>LOW COST</v>
      </c>
      <c r="K484" s="15" t="str">
        <f>IF(Table1[[#This Row],[Age]]&gt;=60,"Senior Citizen",IF(AND(Table1[[#This Row],[Age]]&gt;=18,Table1[[#This Row],[Age]]&lt;60),"Adult",IF(Table1[[#This Row],[Age]]&lt;18,"Child")))</f>
        <v>Child</v>
      </c>
      <c r="L484" s="19"/>
    </row>
    <row r="485" spans="1:12" x14ac:dyDescent="0.25">
      <c r="A485" s="11" t="s">
        <v>510</v>
      </c>
      <c r="B485" s="11" t="s">
        <v>19</v>
      </c>
      <c r="C485" s="11" t="s">
        <v>40</v>
      </c>
      <c r="D485" s="11" t="s">
        <v>16</v>
      </c>
      <c r="E485" s="11" t="s">
        <v>29</v>
      </c>
      <c r="F485" s="11">
        <v>49</v>
      </c>
      <c r="G485" s="11">
        <v>165428.59</v>
      </c>
      <c r="H485" s="11">
        <v>6</v>
      </c>
      <c r="I485" s="12">
        <v>50</v>
      </c>
      <c r="J485" s="15" t="str">
        <f>IF(Table1[[#This Row],[Treatment Cost]]&gt;75000,"HIGH COST","LOW COST")</f>
        <v>HIGH COST</v>
      </c>
      <c r="K485" s="15" t="str">
        <f>IF(Table1[[#This Row],[Age]]&gt;=60,"Senior Citizen",IF(AND(Table1[[#This Row],[Age]]&gt;=18,Table1[[#This Row],[Age]]&lt;60),"Adult",IF(Table1[[#This Row],[Age]]&lt;18,"Child")))</f>
        <v>Adult</v>
      </c>
      <c r="L485" s="19"/>
    </row>
    <row r="486" spans="1:12" x14ac:dyDescent="0.25">
      <c r="A486" s="11" t="s">
        <v>511</v>
      </c>
      <c r="B486" s="11" t="s">
        <v>15</v>
      </c>
      <c r="C486" s="11" t="s">
        <v>23</v>
      </c>
      <c r="D486" s="11" t="s">
        <v>26</v>
      </c>
      <c r="E486" s="11" t="s">
        <v>13</v>
      </c>
      <c r="F486" s="11">
        <v>51</v>
      </c>
      <c r="G486" s="11">
        <v>32030.89</v>
      </c>
      <c r="H486" s="11">
        <v>27</v>
      </c>
      <c r="I486" s="12">
        <v>49</v>
      </c>
      <c r="J486" s="15" t="str">
        <f>IF(Table1[[#This Row],[Treatment Cost]]&gt;75000,"HIGH COST","LOW COST")</f>
        <v>LOW COST</v>
      </c>
      <c r="K486" s="15" t="str">
        <f>IF(Table1[[#This Row],[Age]]&gt;=60,"Senior Citizen",IF(AND(Table1[[#This Row],[Age]]&gt;=18,Table1[[#This Row],[Age]]&lt;60),"Adult",IF(Table1[[#This Row],[Age]]&lt;18,"Child")))</f>
        <v>Adult</v>
      </c>
      <c r="L486" s="19"/>
    </row>
    <row r="487" spans="1:12" x14ac:dyDescent="0.25">
      <c r="A487" s="11" t="s">
        <v>512</v>
      </c>
      <c r="B487" s="11" t="s">
        <v>31</v>
      </c>
      <c r="C487" s="11" t="s">
        <v>11</v>
      </c>
      <c r="D487" s="11" t="s">
        <v>16</v>
      </c>
      <c r="E487" s="11" t="s">
        <v>13</v>
      </c>
      <c r="F487" s="11">
        <v>84</v>
      </c>
      <c r="G487" s="11">
        <v>26431.05</v>
      </c>
      <c r="H487" s="11">
        <v>18</v>
      </c>
      <c r="I487" s="12">
        <v>47</v>
      </c>
      <c r="J487" s="15" t="str">
        <f>IF(Table1[[#This Row],[Treatment Cost]]&gt;75000,"HIGH COST","LOW COST")</f>
        <v>LOW COST</v>
      </c>
      <c r="K487" s="15" t="str">
        <f>IF(Table1[[#This Row],[Age]]&gt;=60,"Senior Citizen",IF(AND(Table1[[#This Row],[Age]]&gt;=18,Table1[[#This Row],[Age]]&lt;60),"Adult",IF(Table1[[#This Row],[Age]]&lt;18,"Child")))</f>
        <v>Senior Citizen</v>
      </c>
      <c r="L487" s="19"/>
    </row>
    <row r="488" spans="1:12" x14ac:dyDescent="0.25">
      <c r="A488" s="11" t="s">
        <v>513</v>
      </c>
      <c r="B488" s="11" t="s">
        <v>36</v>
      </c>
      <c r="C488" s="11" t="s">
        <v>23</v>
      </c>
      <c r="D488" s="11" t="s">
        <v>21</v>
      </c>
      <c r="E488" s="11" t="s">
        <v>13</v>
      </c>
      <c r="F488" s="11">
        <v>74</v>
      </c>
      <c r="G488" s="11">
        <v>28114.91</v>
      </c>
      <c r="H488" s="11">
        <v>24</v>
      </c>
      <c r="I488" s="12">
        <v>53</v>
      </c>
      <c r="J488" s="15" t="str">
        <f>IF(Table1[[#This Row],[Treatment Cost]]&gt;75000,"HIGH COST","LOW COST")</f>
        <v>LOW COST</v>
      </c>
      <c r="K488" s="15" t="str">
        <f>IF(Table1[[#This Row],[Age]]&gt;=60,"Senior Citizen",IF(AND(Table1[[#This Row],[Age]]&gt;=18,Table1[[#This Row],[Age]]&lt;60),"Adult",IF(Table1[[#This Row],[Age]]&lt;18,"Child")))</f>
        <v>Senior Citizen</v>
      </c>
      <c r="L488" s="19"/>
    </row>
    <row r="489" spans="1:12" x14ac:dyDescent="0.25">
      <c r="A489" s="11" t="s">
        <v>514</v>
      </c>
      <c r="B489" s="11" t="s">
        <v>31</v>
      </c>
      <c r="C489" s="11" t="s">
        <v>40</v>
      </c>
      <c r="D489" s="11" t="s">
        <v>16</v>
      </c>
      <c r="E489" s="11" t="s">
        <v>17</v>
      </c>
      <c r="F489" s="11">
        <v>25</v>
      </c>
      <c r="G489" s="11">
        <v>40481.74</v>
      </c>
      <c r="H489" s="11">
        <v>5</v>
      </c>
      <c r="I489" s="12">
        <v>71</v>
      </c>
      <c r="J489" s="15" t="str">
        <f>IF(Table1[[#This Row],[Treatment Cost]]&gt;75000,"HIGH COST","LOW COST")</f>
        <v>LOW COST</v>
      </c>
      <c r="K489" s="15" t="str">
        <f>IF(Table1[[#This Row],[Age]]&gt;=60,"Senior Citizen",IF(AND(Table1[[#This Row],[Age]]&gt;=18,Table1[[#This Row],[Age]]&lt;60),"Adult",IF(Table1[[#This Row],[Age]]&lt;18,"Child")))</f>
        <v>Adult</v>
      </c>
      <c r="L489" s="19"/>
    </row>
    <row r="490" spans="1:12" x14ac:dyDescent="0.25">
      <c r="A490" s="11" t="s">
        <v>515</v>
      </c>
      <c r="B490" s="11" t="s">
        <v>19</v>
      </c>
      <c r="C490" s="11" t="s">
        <v>23</v>
      </c>
      <c r="D490" s="11" t="s">
        <v>26</v>
      </c>
      <c r="E490" s="11" t="s">
        <v>17</v>
      </c>
      <c r="F490" s="11">
        <v>63</v>
      </c>
      <c r="G490" s="11">
        <v>141849.78</v>
      </c>
      <c r="H490" s="11">
        <v>30</v>
      </c>
      <c r="I490" s="12">
        <v>88</v>
      </c>
      <c r="J490" s="15" t="str">
        <f>IF(Table1[[#This Row],[Treatment Cost]]&gt;75000,"HIGH COST","LOW COST")</f>
        <v>HIGH COST</v>
      </c>
      <c r="K490" s="15" t="str">
        <f>IF(Table1[[#This Row],[Age]]&gt;=60,"Senior Citizen",IF(AND(Table1[[#This Row],[Age]]&gt;=18,Table1[[#This Row],[Age]]&lt;60),"Adult",IF(Table1[[#This Row],[Age]]&lt;18,"Child")))</f>
        <v>Senior Citizen</v>
      </c>
      <c r="L490" s="19"/>
    </row>
    <row r="491" spans="1:12" x14ac:dyDescent="0.25">
      <c r="A491" s="11" t="s">
        <v>516</v>
      </c>
      <c r="B491" s="11" t="s">
        <v>10</v>
      </c>
      <c r="C491" s="11" t="s">
        <v>40</v>
      </c>
      <c r="D491" s="11" t="s">
        <v>21</v>
      </c>
      <c r="E491" s="11" t="s">
        <v>29</v>
      </c>
      <c r="F491" s="11">
        <v>21</v>
      </c>
      <c r="G491" s="11">
        <v>12318.75</v>
      </c>
      <c r="H491" s="11">
        <v>2</v>
      </c>
      <c r="I491" s="12">
        <v>55</v>
      </c>
      <c r="J491" s="15" t="str">
        <f>IF(Table1[[#This Row],[Treatment Cost]]&gt;75000,"HIGH COST","LOW COST")</f>
        <v>LOW COST</v>
      </c>
      <c r="K491" s="15" t="str">
        <f>IF(Table1[[#This Row],[Age]]&gt;=60,"Senior Citizen",IF(AND(Table1[[#This Row],[Age]]&gt;=18,Table1[[#This Row],[Age]]&lt;60),"Adult",IF(Table1[[#This Row],[Age]]&lt;18,"Child")))</f>
        <v>Adult</v>
      </c>
      <c r="L491" s="19"/>
    </row>
    <row r="492" spans="1:12" x14ac:dyDescent="0.25">
      <c r="A492" s="11" t="s">
        <v>517</v>
      </c>
      <c r="B492" s="11" t="s">
        <v>15</v>
      </c>
      <c r="C492" s="11" t="s">
        <v>23</v>
      </c>
      <c r="D492" s="11" t="s">
        <v>24</v>
      </c>
      <c r="E492" s="11" t="s">
        <v>29</v>
      </c>
      <c r="F492" s="11">
        <v>35</v>
      </c>
      <c r="G492" s="11">
        <v>153792.67000000001</v>
      </c>
      <c r="H492" s="11">
        <v>26</v>
      </c>
      <c r="I492" s="12">
        <v>64</v>
      </c>
      <c r="J492" s="15" t="str">
        <f>IF(Table1[[#This Row],[Treatment Cost]]&gt;75000,"HIGH COST","LOW COST")</f>
        <v>HIGH COST</v>
      </c>
      <c r="K492" s="15" t="str">
        <f>IF(Table1[[#This Row],[Age]]&gt;=60,"Senior Citizen",IF(AND(Table1[[#This Row],[Age]]&gt;=18,Table1[[#This Row],[Age]]&lt;60),"Adult",IF(Table1[[#This Row],[Age]]&lt;18,"Child")))</f>
        <v>Adult</v>
      </c>
      <c r="L492" s="19"/>
    </row>
    <row r="493" spans="1:12" x14ac:dyDescent="0.25">
      <c r="A493" s="11" t="s">
        <v>518</v>
      </c>
      <c r="B493" s="11" t="s">
        <v>31</v>
      </c>
      <c r="C493" s="11" t="s">
        <v>20</v>
      </c>
      <c r="D493" s="11" t="s">
        <v>12</v>
      </c>
      <c r="E493" s="11" t="s">
        <v>29</v>
      </c>
      <c r="F493" s="11">
        <v>59</v>
      </c>
      <c r="G493" s="11">
        <v>36518.54</v>
      </c>
      <c r="H493" s="11">
        <v>27</v>
      </c>
      <c r="I493" s="12">
        <v>89</v>
      </c>
      <c r="J493" s="15" t="str">
        <f>IF(Table1[[#This Row],[Treatment Cost]]&gt;75000,"HIGH COST","LOW COST")</f>
        <v>LOW COST</v>
      </c>
      <c r="K493" s="15" t="str">
        <f>IF(Table1[[#This Row],[Age]]&gt;=60,"Senior Citizen",IF(AND(Table1[[#This Row],[Age]]&gt;=18,Table1[[#This Row],[Age]]&lt;60),"Adult",IF(Table1[[#This Row],[Age]]&lt;18,"Child")))</f>
        <v>Adult</v>
      </c>
      <c r="L493" s="19"/>
    </row>
    <row r="494" spans="1:12" x14ac:dyDescent="0.25">
      <c r="A494" s="11" t="s">
        <v>519</v>
      </c>
      <c r="B494" s="11" t="s">
        <v>34</v>
      </c>
      <c r="C494" s="11" t="s">
        <v>11</v>
      </c>
      <c r="D494" s="11" t="s">
        <v>21</v>
      </c>
      <c r="E494" s="11" t="s">
        <v>29</v>
      </c>
      <c r="F494" s="11">
        <v>86</v>
      </c>
      <c r="G494" s="11">
        <v>109737.62</v>
      </c>
      <c r="H494" s="11">
        <v>3</v>
      </c>
      <c r="I494" s="12">
        <v>42</v>
      </c>
      <c r="J494" s="15" t="str">
        <f>IF(Table1[[#This Row],[Treatment Cost]]&gt;75000,"HIGH COST","LOW COST")</f>
        <v>HIGH COST</v>
      </c>
      <c r="K494" s="15" t="str">
        <f>IF(Table1[[#This Row],[Age]]&gt;=60,"Senior Citizen",IF(AND(Table1[[#This Row],[Age]]&gt;=18,Table1[[#This Row],[Age]]&lt;60),"Adult",IF(Table1[[#This Row],[Age]]&lt;18,"Child")))</f>
        <v>Senior Citizen</v>
      </c>
      <c r="L494" s="19"/>
    </row>
    <row r="495" spans="1:12" x14ac:dyDescent="0.25">
      <c r="A495" s="11" t="s">
        <v>520</v>
      </c>
      <c r="B495" s="11" t="s">
        <v>31</v>
      </c>
      <c r="C495" s="11" t="s">
        <v>40</v>
      </c>
      <c r="D495" s="11" t="s">
        <v>24</v>
      </c>
      <c r="E495" s="11" t="s">
        <v>13</v>
      </c>
      <c r="F495" s="11">
        <v>81</v>
      </c>
      <c r="G495" s="11">
        <v>187347.35</v>
      </c>
      <c r="H495" s="11">
        <v>3</v>
      </c>
      <c r="I495" s="12">
        <v>70</v>
      </c>
      <c r="J495" s="15" t="str">
        <f>IF(Table1[[#This Row],[Treatment Cost]]&gt;75000,"HIGH COST","LOW COST")</f>
        <v>HIGH COST</v>
      </c>
      <c r="K495" s="15" t="str">
        <f>IF(Table1[[#This Row],[Age]]&gt;=60,"Senior Citizen",IF(AND(Table1[[#This Row],[Age]]&gt;=18,Table1[[#This Row],[Age]]&lt;60),"Adult",IF(Table1[[#This Row],[Age]]&lt;18,"Child")))</f>
        <v>Senior Citizen</v>
      </c>
      <c r="L495" s="19"/>
    </row>
    <row r="496" spans="1:12" x14ac:dyDescent="0.25">
      <c r="A496" s="11" t="s">
        <v>521</v>
      </c>
      <c r="B496" s="11" t="s">
        <v>15</v>
      </c>
      <c r="C496" s="11" t="s">
        <v>40</v>
      </c>
      <c r="D496" s="11" t="s">
        <v>26</v>
      </c>
      <c r="E496" s="11" t="s">
        <v>13</v>
      </c>
      <c r="F496" s="11">
        <v>14</v>
      </c>
      <c r="G496" s="11">
        <v>65500.91</v>
      </c>
      <c r="H496" s="11">
        <v>9</v>
      </c>
      <c r="I496" s="12">
        <v>68</v>
      </c>
      <c r="J496" s="15" t="str">
        <f>IF(Table1[[#This Row],[Treatment Cost]]&gt;75000,"HIGH COST","LOW COST")</f>
        <v>LOW COST</v>
      </c>
      <c r="K496" s="15" t="str">
        <f>IF(Table1[[#This Row],[Age]]&gt;=60,"Senior Citizen",IF(AND(Table1[[#This Row],[Age]]&gt;=18,Table1[[#This Row],[Age]]&lt;60),"Adult",IF(Table1[[#This Row],[Age]]&lt;18,"Child")))</f>
        <v>Child</v>
      </c>
      <c r="L496" s="19"/>
    </row>
    <row r="497" spans="1:12" x14ac:dyDescent="0.25">
      <c r="A497" s="11" t="s">
        <v>522</v>
      </c>
      <c r="B497" s="11" t="s">
        <v>34</v>
      </c>
      <c r="C497" s="11" t="s">
        <v>40</v>
      </c>
      <c r="D497" s="11" t="s">
        <v>12</v>
      </c>
      <c r="E497" s="11" t="s">
        <v>29</v>
      </c>
      <c r="F497" s="11">
        <v>84</v>
      </c>
      <c r="G497" s="11">
        <v>66224.67</v>
      </c>
      <c r="H497" s="11">
        <v>15</v>
      </c>
      <c r="I497" s="12">
        <v>92</v>
      </c>
      <c r="J497" s="15" t="str">
        <f>IF(Table1[[#This Row],[Treatment Cost]]&gt;75000,"HIGH COST","LOW COST")</f>
        <v>LOW COST</v>
      </c>
      <c r="K497" s="15" t="str">
        <f>IF(Table1[[#This Row],[Age]]&gt;=60,"Senior Citizen",IF(AND(Table1[[#This Row],[Age]]&gt;=18,Table1[[#This Row],[Age]]&lt;60),"Adult",IF(Table1[[#This Row],[Age]]&lt;18,"Child")))</f>
        <v>Senior Citizen</v>
      </c>
      <c r="L497" s="19"/>
    </row>
    <row r="498" spans="1:12" x14ac:dyDescent="0.25">
      <c r="A498" s="11" t="s">
        <v>523</v>
      </c>
      <c r="B498" s="11" t="s">
        <v>34</v>
      </c>
      <c r="C498" s="11" t="s">
        <v>40</v>
      </c>
      <c r="D498" s="11" t="s">
        <v>21</v>
      </c>
      <c r="E498" s="11" t="s">
        <v>13</v>
      </c>
      <c r="F498" s="11">
        <v>8</v>
      </c>
      <c r="G498" s="11">
        <v>49051.49</v>
      </c>
      <c r="H498" s="11">
        <v>22</v>
      </c>
      <c r="I498" s="12">
        <v>76</v>
      </c>
      <c r="J498" s="15" t="str">
        <f>IF(Table1[[#This Row],[Treatment Cost]]&gt;75000,"HIGH COST","LOW COST")</f>
        <v>LOW COST</v>
      </c>
      <c r="K498" s="15" t="str">
        <f>IF(Table1[[#This Row],[Age]]&gt;=60,"Senior Citizen",IF(AND(Table1[[#This Row],[Age]]&gt;=18,Table1[[#This Row],[Age]]&lt;60),"Adult",IF(Table1[[#This Row],[Age]]&lt;18,"Child")))</f>
        <v>Child</v>
      </c>
      <c r="L498" s="19"/>
    </row>
    <row r="499" spans="1:12" x14ac:dyDescent="0.25">
      <c r="A499" s="11" t="s">
        <v>524</v>
      </c>
      <c r="B499" s="11" t="s">
        <v>36</v>
      </c>
      <c r="C499" s="11" t="s">
        <v>23</v>
      </c>
      <c r="D499" s="11" t="s">
        <v>12</v>
      </c>
      <c r="E499" s="11" t="s">
        <v>29</v>
      </c>
      <c r="F499" s="11">
        <v>49</v>
      </c>
      <c r="G499" s="11">
        <v>123748.7</v>
      </c>
      <c r="H499" s="11">
        <v>11</v>
      </c>
      <c r="I499" s="12">
        <v>85</v>
      </c>
      <c r="J499" s="15" t="str">
        <f>IF(Table1[[#This Row],[Treatment Cost]]&gt;75000,"HIGH COST","LOW COST")</f>
        <v>HIGH COST</v>
      </c>
      <c r="K499" s="15" t="str">
        <f>IF(Table1[[#This Row],[Age]]&gt;=60,"Senior Citizen",IF(AND(Table1[[#This Row],[Age]]&gt;=18,Table1[[#This Row],[Age]]&lt;60),"Adult",IF(Table1[[#This Row],[Age]]&lt;18,"Child")))</f>
        <v>Adult</v>
      </c>
      <c r="L499" s="19"/>
    </row>
    <row r="500" spans="1:12" x14ac:dyDescent="0.25">
      <c r="A500" s="11" t="s">
        <v>525</v>
      </c>
      <c r="B500" s="11" t="s">
        <v>34</v>
      </c>
      <c r="C500" s="11" t="s">
        <v>11</v>
      </c>
      <c r="D500" s="11" t="s">
        <v>21</v>
      </c>
      <c r="E500" s="11" t="s">
        <v>17</v>
      </c>
      <c r="F500" s="11">
        <v>22</v>
      </c>
      <c r="G500" s="11">
        <v>167252.95000000001</v>
      </c>
      <c r="H500" s="11">
        <v>11</v>
      </c>
      <c r="I500" s="12">
        <v>52</v>
      </c>
      <c r="J500" s="15" t="str">
        <f>IF(Table1[[#This Row],[Treatment Cost]]&gt;75000,"HIGH COST","LOW COST")</f>
        <v>HIGH COST</v>
      </c>
      <c r="K500" s="15" t="str">
        <f>IF(Table1[[#This Row],[Age]]&gt;=60,"Senior Citizen",IF(AND(Table1[[#This Row],[Age]]&gt;=18,Table1[[#This Row],[Age]]&lt;60),"Adult",IF(Table1[[#This Row],[Age]]&lt;18,"Child")))</f>
        <v>Adult</v>
      </c>
      <c r="L500" s="19"/>
    </row>
    <row r="501" spans="1:12" x14ac:dyDescent="0.25">
      <c r="A501" s="11" t="s">
        <v>526</v>
      </c>
      <c r="B501" s="11" t="s">
        <v>36</v>
      </c>
      <c r="C501" s="11" t="s">
        <v>20</v>
      </c>
      <c r="D501" s="11" t="s">
        <v>21</v>
      </c>
      <c r="E501" s="11" t="s">
        <v>13</v>
      </c>
      <c r="F501" s="11">
        <v>20</v>
      </c>
      <c r="G501" s="11">
        <v>32194.93</v>
      </c>
      <c r="H501" s="11">
        <v>20</v>
      </c>
      <c r="I501" s="12">
        <v>68</v>
      </c>
      <c r="J501" s="15" t="str">
        <f>IF(Table1[[#This Row],[Treatment Cost]]&gt;75000,"HIGH COST","LOW COST")</f>
        <v>LOW COST</v>
      </c>
      <c r="K501" s="15" t="str">
        <f>IF(Table1[[#This Row],[Age]]&gt;=60,"Senior Citizen",IF(AND(Table1[[#This Row],[Age]]&gt;=18,Table1[[#This Row],[Age]]&lt;60),"Adult",IF(Table1[[#This Row],[Age]]&lt;18,"Child")))</f>
        <v>Adult</v>
      </c>
      <c r="L501" s="19"/>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12B20-932B-408C-A96A-515912027A04}">
  <dimension ref="A3:I43"/>
  <sheetViews>
    <sheetView zoomScale="134" workbookViewId="0">
      <selection activeCell="E20" sqref="E20"/>
    </sheetView>
  </sheetViews>
  <sheetFormatPr defaultRowHeight="15" x14ac:dyDescent="0.25"/>
  <cols>
    <col min="1" max="1" width="13.140625" bestFit="1" customWidth="1"/>
    <col min="2" max="2" width="18.42578125" bestFit="1" customWidth="1"/>
    <col min="3" max="3" width="19" bestFit="1" customWidth="1"/>
    <col min="4" max="4" width="18.7109375" bestFit="1" customWidth="1"/>
    <col min="5" max="5" width="24.85546875" bestFit="1" customWidth="1"/>
    <col min="6" max="6" width="18.85546875" bestFit="1" customWidth="1"/>
    <col min="9" max="9" width="18.85546875" bestFit="1" customWidth="1"/>
  </cols>
  <sheetData>
    <row r="3" spans="1:5" x14ac:dyDescent="0.25">
      <c r="A3" s="4" t="s">
        <v>527</v>
      </c>
      <c r="B3" s="4" t="s">
        <v>528</v>
      </c>
      <c r="C3" s="4" t="s">
        <v>529</v>
      </c>
      <c r="D3" s="4" t="s">
        <v>530</v>
      </c>
      <c r="E3" s="4" t="s">
        <v>531</v>
      </c>
    </row>
    <row r="4" spans="1:5" x14ac:dyDescent="0.25">
      <c r="A4" s="18">
        <v>500</v>
      </c>
      <c r="B4" s="5">
        <v>100384.35648000003</v>
      </c>
      <c r="C4" s="5">
        <v>45.667999999999999</v>
      </c>
      <c r="D4" s="5">
        <v>15.772</v>
      </c>
      <c r="E4" s="5">
        <v>70.13</v>
      </c>
    </row>
    <row r="7" spans="1:5" x14ac:dyDescent="0.25">
      <c r="A7" s="2" t="s">
        <v>532</v>
      </c>
      <c r="B7" s="4" t="s">
        <v>535</v>
      </c>
      <c r="C7" s="2" t="s">
        <v>537</v>
      </c>
      <c r="D7" s="2" t="s">
        <v>536</v>
      </c>
    </row>
    <row r="8" spans="1:5" x14ac:dyDescent="0.25">
      <c r="A8" s="7" t="s">
        <v>15</v>
      </c>
      <c r="B8" s="5">
        <v>71.541666666666671</v>
      </c>
      <c r="C8" s="3">
        <v>100</v>
      </c>
      <c r="D8" s="3">
        <v>44</v>
      </c>
    </row>
    <row r="9" spans="1:5" x14ac:dyDescent="0.25">
      <c r="A9" s="7" t="s">
        <v>31</v>
      </c>
      <c r="B9" s="5">
        <v>67.879120879120876</v>
      </c>
      <c r="C9" s="3">
        <v>100</v>
      </c>
      <c r="D9" s="3">
        <v>40</v>
      </c>
    </row>
    <row r="10" spans="1:5" x14ac:dyDescent="0.25">
      <c r="A10" s="7" t="s">
        <v>10</v>
      </c>
      <c r="B10" s="5">
        <v>69.313953488372093</v>
      </c>
      <c r="C10" s="3">
        <v>100</v>
      </c>
      <c r="D10" s="3">
        <v>40</v>
      </c>
    </row>
    <row r="11" spans="1:5" x14ac:dyDescent="0.25">
      <c r="A11" s="7" t="s">
        <v>36</v>
      </c>
      <c r="B11" s="5">
        <v>72.821917808219183</v>
      </c>
      <c r="C11" s="3">
        <v>100</v>
      </c>
      <c r="D11" s="3">
        <v>40</v>
      </c>
    </row>
    <row r="12" spans="1:5" x14ac:dyDescent="0.25">
      <c r="A12" s="7" t="s">
        <v>19</v>
      </c>
      <c r="B12" s="5">
        <v>70.126315789473679</v>
      </c>
      <c r="C12" s="3">
        <v>100</v>
      </c>
      <c r="D12" s="3">
        <v>40</v>
      </c>
    </row>
    <row r="13" spans="1:5" x14ac:dyDescent="0.25">
      <c r="A13" s="7" t="s">
        <v>34</v>
      </c>
      <c r="B13" s="5">
        <v>69.855421686746993</v>
      </c>
      <c r="C13" s="3">
        <v>99</v>
      </c>
      <c r="D13" s="3">
        <v>41</v>
      </c>
    </row>
    <row r="14" spans="1:5" x14ac:dyDescent="0.25">
      <c r="A14" s="8" t="s">
        <v>533</v>
      </c>
      <c r="B14" s="9">
        <v>70.13</v>
      </c>
      <c r="C14" s="10">
        <v>100</v>
      </c>
      <c r="D14" s="10">
        <v>40</v>
      </c>
    </row>
    <row r="16" spans="1:5" x14ac:dyDescent="0.25">
      <c r="A16" s="2" t="s">
        <v>532</v>
      </c>
      <c r="B16" s="2" t="s">
        <v>534</v>
      </c>
    </row>
    <row r="17" spans="1:5" x14ac:dyDescent="0.25">
      <c r="A17" s="7" t="s">
        <v>16</v>
      </c>
      <c r="B17" s="3">
        <v>69.330275229357795</v>
      </c>
    </row>
    <row r="18" spans="1:5" x14ac:dyDescent="0.25">
      <c r="A18" s="7" t="s">
        <v>12</v>
      </c>
      <c r="B18" s="3">
        <v>69.197916666666671</v>
      </c>
    </row>
    <row r="19" spans="1:5" x14ac:dyDescent="0.25">
      <c r="A19" s="7" t="s">
        <v>26</v>
      </c>
      <c r="B19" s="3">
        <v>67.917525773195877</v>
      </c>
    </row>
    <row r="20" spans="1:5" x14ac:dyDescent="0.25">
      <c r="A20" s="7" t="s">
        <v>21</v>
      </c>
      <c r="B20" s="3">
        <v>73.790000000000006</v>
      </c>
    </row>
    <row r="21" spans="1:5" x14ac:dyDescent="0.25">
      <c r="A21" s="7" t="s">
        <v>24</v>
      </c>
      <c r="B21" s="3">
        <v>70.387755102040813</v>
      </c>
    </row>
    <row r="22" spans="1:5" x14ac:dyDescent="0.25">
      <c r="A22" s="8" t="s">
        <v>533</v>
      </c>
      <c r="B22" s="10">
        <v>70.13</v>
      </c>
    </row>
    <row r="25" spans="1:5" x14ac:dyDescent="0.25">
      <c r="A25" s="2" t="s">
        <v>532</v>
      </c>
      <c r="B25" s="2" t="s">
        <v>534</v>
      </c>
      <c r="D25" s="6" t="s">
        <v>532</v>
      </c>
      <c r="E25" s="6" t="s">
        <v>534</v>
      </c>
    </row>
    <row r="26" spans="1:5" x14ac:dyDescent="0.25">
      <c r="A26" s="7" t="s">
        <v>15</v>
      </c>
      <c r="B26" s="3">
        <v>71.541666666666671</v>
      </c>
      <c r="D26" s="6" t="s">
        <v>15</v>
      </c>
      <c r="E26" s="6">
        <v>71.541666666666671</v>
      </c>
    </row>
    <row r="27" spans="1:5" x14ac:dyDescent="0.25">
      <c r="A27" s="7" t="s">
        <v>31</v>
      </c>
      <c r="B27" s="3">
        <v>67.879120879120876</v>
      </c>
      <c r="D27" s="6" t="s">
        <v>31</v>
      </c>
      <c r="E27" s="6">
        <v>67.879120879120876</v>
      </c>
    </row>
    <row r="28" spans="1:5" x14ac:dyDescent="0.25">
      <c r="A28" s="7" t="s">
        <v>10</v>
      </c>
      <c r="B28" s="3">
        <v>69.313953488372093</v>
      </c>
      <c r="D28" s="6" t="s">
        <v>10</v>
      </c>
      <c r="E28" s="6">
        <v>69.313953488372093</v>
      </c>
    </row>
    <row r="29" spans="1:5" x14ac:dyDescent="0.25">
      <c r="A29" s="7" t="s">
        <v>36</v>
      </c>
      <c r="B29" s="3">
        <v>72.821917808219183</v>
      </c>
      <c r="D29" s="6" t="s">
        <v>36</v>
      </c>
      <c r="E29" s="6">
        <v>72.821917808219183</v>
      </c>
    </row>
    <row r="30" spans="1:5" x14ac:dyDescent="0.25">
      <c r="A30" s="7" t="s">
        <v>19</v>
      </c>
      <c r="B30" s="3">
        <v>70.126315789473679</v>
      </c>
      <c r="D30" s="6" t="s">
        <v>19</v>
      </c>
      <c r="E30" s="6">
        <v>70.126315789473679</v>
      </c>
    </row>
    <row r="31" spans="1:5" x14ac:dyDescent="0.25">
      <c r="A31" s="7" t="s">
        <v>34</v>
      </c>
      <c r="B31" s="3">
        <v>69.855421686746993</v>
      </c>
      <c r="D31" s="6" t="s">
        <v>34</v>
      </c>
      <c r="E31" s="6">
        <v>69.855421686746993</v>
      </c>
    </row>
    <row r="32" spans="1:5" x14ac:dyDescent="0.25">
      <c r="A32" s="8" t="s">
        <v>533</v>
      </c>
      <c r="B32" s="10">
        <v>70.13</v>
      </c>
    </row>
    <row r="34" spans="1:9" x14ac:dyDescent="0.25">
      <c r="A34" s="2" t="s">
        <v>532</v>
      </c>
      <c r="B34" s="2" t="s">
        <v>534</v>
      </c>
      <c r="E34" s="2" t="s">
        <v>532</v>
      </c>
      <c r="F34" s="2" t="s">
        <v>534</v>
      </c>
      <c r="H34" s="6" t="s">
        <v>532</v>
      </c>
      <c r="I34" s="6" t="s">
        <v>534</v>
      </c>
    </row>
    <row r="35" spans="1:9" x14ac:dyDescent="0.25">
      <c r="A35" s="7" t="s">
        <v>17</v>
      </c>
      <c r="B35" s="3">
        <v>70.988095238095241</v>
      </c>
      <c r="E35" s="7" t="s">
        <v>542</v>
      </c>
      <c r="F35" s="1">
        <v>69.698689956331876</v>
      </c>
      <c r="H35" s="6" t="s">
        <v>542</v>
      </c>
      <c r="I35" s="6">
        <v>69.698689956331876</v>
      </c>
    </row>
    <row r="36" spans="1:9" x14ac:dyDescent="0.25">
      <c r="A36" s="7" t="s">
        <v>13</v>
      </c>
      <c r="B36" s="3">
        <v>69.635838150289018</v>
      </c>
      <c r="E36" s="7" t="s">
        <v>543</v>
      </c>
      <c r="F36" s="1">
        <v>71.646464646464651</v>
      </c>
      <c r="H36" s="6" t="s">
        <v>543</v>
      </c>
      <c r="I36" s="6">
        <v>71.646464646464651</v>
      </c>
    </row>
    <row r="37" spans="1:9" x14ac:dyDescent="0.25">
      <c r="A37" s="7" t="s">
        <v>29</v>
      </c>
      <c r="B37" s="3">
        <v>69.76100628930817</v>
      </c>
      <c r="E37" s="7" t="s">
        <v>544</v>
      </c>
      <c r="F37" s="1">
        <v>69.831395348837205</v>
      </c>
      <c r="H37" s="6" t="s">
        <v>544</v>
      </c>
      <c r="I37" s="6">
        <v>69.831395348837205</v>
      </c>
    </row>
    <row r="38" spans="1:9" x14ac:dyDescent="0.25">
      <c r="A38" s="8" t="s">
        <v>533</v>
      </c>
      <c r="B38" s="10">
        <v>70.13</v>
      </c>
      <c r="E38" s="8" t="s">
        <v>533</v>
      </c>
      <c r="F38" s="10">
        <v>70.13</v>
      </c>
    </row>
    <row r="40" spans="1:9" x14ac:dyDescent="0.25">
      <c r="A40" s="2" t="s">
        <v>532</v>
      </c>
      <c r="B40" s="2" t="s">
        <v>535</v>
      </c>
    </row>
    <row r="41" spans="1:9" x14ac:dyDescent="0.25">
      <c r="A41" s="7" t="s">
        <v>539</v>
      </c>
      <c r="B41" s="3">
        <v>70.610389610389603</v>
      </c>
    </row>
    <row r="42" spans="1:9" x14ac:dyDescent="0.25">
      <c r="A42" s="7" t="s">
        <v>540</v>
      </c>
      <c r="B42" s="3">
        <v>69.359375</v>
      </c>
    </row>
    <row r="43" spans="1:9" x14ac:dyDescent="0.25">
      <c r="A43" s="8" t="s">
        <v>533</v>
      </c>
      <c r="B43" s="10">
        <v>70.13</v>
      </c>
    </row>
  </sheetData>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F7E43-EB4B-4F22-B341-04FFF4D97AAE}">
  <dimension ref="A1"/>
  <sheetViews>
    <sheetView showGridLines="0" showRowColHeaders="0" tabSelected="1" workbookViewId="0">
      <selection activeCell="X10" sqref="X1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Hospital Data</vt:lpstr>
      <vt:lpstr>Clean Data</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ANNASHYA KUNDU</cp:lastModifiedBy>
  <dcterms:created xsi:type="dcterms:W3CDTF">2026-04-13T18:51:53Z</dcterms:created>
  <dcterms:modified xsi:type="dcterms:W3CDTF">2026-04-23T07:39:03Z</dcterms:modified>
</cp:coreProperties>
</file>