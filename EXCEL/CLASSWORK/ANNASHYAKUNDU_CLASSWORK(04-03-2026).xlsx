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dd836e8f53be5f/Documents/Desktop/ANUDIP/"/>
    </mc:Choice>
  </mc:AlternateContent>
  <xr:revisionPtr revIDLastSave="60" documentId="8_{0CCFCE8A-CA3E-46EC-9705-C2AEE48547E6}" xr6:coauthVersionLast="47" xr6:coauthVersionMax="47" xr10:uidLastSave="{55766242-512B-4E8B-B23C-D52B3094C4CD}"/>
  <bookViews>
    <workbookView xWindow="-120" yWindow="-120" windowWidth="29040" windowHeight="15720" xr2:uid="{7C66AA12-17D7-4C18-9571-79084A8F6F55}"/>
  </bookViews>
  <sheets>
    <sheet name="Sheet1" sheetId="1" r:id="rId1"/>
  </sheets>
  <definedNames>
    <definedName name="_xlnm._FilterDatabase" localSheetId="0" hidden="1">Sheet1!$A$4:$I$14</definedName>
    <definedName name="_xlnm.Criteria" localSheetId="0">Sheet1!$V$4:$W$5</definedName>
    <definedName name="_xlnm.Extract" localSheetId="0">Sheet1!$U$7:$AC$7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6" i="1" l="1"/>
  <c r="AI25" i="1"/>
  <c r="AI24" i="1"/>
  <c r="AH23" i="1"/>
  <c r="AJ22" i="1"/>
  <c r="AH21" i="1"/>
  <c r="AH20" i="1"/>
  <c r="AK19" i="1"/>
  <c r="AM18" i="1"/>
  <c r="AK17" i="1"/>
  <c r="AM16" i="1"/>
</calcChain>
</file>

<file path=xl/sharedStrings.xml><?xml version="1.0" encoding="utf-8"?>
<sst xmlns="http://schemas.openxmlformats.org/spreadsheetml/2006/main" count="183" uniqueCount="53">
  <si>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</si>
  <si>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</si>
  <si>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</si>
  <si>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</si>
  <si>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</si>
  <si>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</si>
  <si>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</si>
  <si>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</si>
  <si>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</si>
  <si>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East</t>
  </si>
  <si>
    <t>Amit</t>
  </si>
  <si>
    <t>Laptop</t>
  </si>
  <si>
    <t>Electronics</t>
  </si>
  <si>
    <t>West</t>
  </si>
  <si>
    <t>Priya</t>
  </si>
  <si>
    <t>Phone</t>
  </si>
  <si>
    <t>North</t>
  </si>
  <si>
    <t>Rahul</t>
  </si>
  <si>
    <t>Chair</t>
  </si>
  <si>
    <t>Furniture</t>
  </si>
  <si>
    <t>South</t>
  </si>
  <si>
    <t>Neha</t>
  </si>
  <si>
    <t>Table</t>
  </si>
  <si>
    <t>Desk</t>
  </si>
  <si>
    <t>Q1. Sort Total_Sales from Highest to Lowest.</t>
  </si>
  <si>
    <t>Q2. Filter data to show only "Electronics" category.</t>
  </si>
  <si>
    <t>Q3. Filter sales done by Amit in East region.</t>
  </si>
  <si>
    <t>Q4. Find total sales of all orders.</t>
  </si>
  <si>
    <t>Q5. Find total quantity sold.</t>
  </si>
  <si>
    <t>Q6. Find average Total_Sales.</t>
  </si>
  <si>
    <t>Q7. Find average quantity sold per order.</t>
  </si>
  <si>
    <t>Q8. Count total number of orders.</t>
  </si>
  <si>
    <t>Q9. Count number of Furniture orders.</t>
  </si>
  <si>
    <t>Q10. Find total sales for Electronics category.</t>
  </si>
  <si>
    <t>Q11. Find total sales done by Amit.</t>
  </si>
  <si>
    <t>Q12. Total sales of Electronics in East region.</t>
  </si>
  <si>
    <t>Q13. Total sales by Priya in West region.</t>
  </si>
  <si>
    <t>Q14. Highlight Total_Sales greater than 1,00,000.</t>
  </si>
  <si>
    <t>Q15. Highlight Quantity less than 3.</t>
  </si>
  <si>
    <t>Q16. Count orders where:</t>
  </si>
  <si>
    <t>Category = Electronics</t>
  </si>
  <si>
    <t>Quantity &gt; 3</t>
  </si>
  <si>
    <t>Total Sales of All orders</t>
  </si>
  <si>
    <t>Total quantity sold</t>
  </si>
  <si>
    <t>Average Total Sales</t>
  </si>
  <si>
    <t>Average quantity sold per order</t>
  </si>
  <si>
    <t>Total no of Orders</t>
  </si>
  <si>
    <t>No. of Furniture Orders</t>
  </si>
  <si>
    <t>Total sales of electronics category</t>
  </si>
  <si>
    <t>Total sales done by Amit</t>
  </si>
  <si>
    <t>Total sales of Electronics in East region</t>
  </si>
  <si>
    <t>Total sales by Priya in West region.</t>
  </si>
  <si>
    <t>Count orders where Catergory = "Electronics" and quantity &gt;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</si>
</sst>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AA8B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14" fontId="0" fillId="7" borderId="1" xfId="0" applyNumberForma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1" fillId="3" borderId="1" xfId="0" applyFont="1" applyFill="1" applyBorder="1"/>
    <xf numFmtId="0" fontId="0" fillId="9" borderId="0" xfId="0" applyFill="1"/>
    <xf numFmtId="0" fontId="1" fillId="9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/>
    <xf numFmtId="0" fontId="0" fillId="6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9" borderId="1" xfId="0" applyFill="1" applyBorder="1" applyAlignment="1">
      <alignment vertical="center" wrapText="1"/>
    </xf>
    <xf numFmtId="0" fontId="0" fillId="3" borderId="1" xfId="0" applyFill="1" applyBorder="1"/>
    <xf numFmtId="0" fontId="0" fillId="9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1" fillId="8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AA8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6149-8E81-489F-91E3-C4CF917A52EE}">
  <dimension ref="A2:AT26"/>
  <sheetViews>
    <sheetView tabSelected="1" workbookViewId="0">
      <selection activeCell="AO22" sqref="AO22"/>
    </sheetView>
  </sheetViews>
  <sheetFormatPr defaultRowHeight="15" x14ac:dyDescent="0.25"/>
  <cols>
    <col min="1" max="1" width="8.5703125" bestFit="1" customWidth="1"/>
    <col min="2" max="2" width="10.28515625" bestFit="1" customWidth="1"/>
    <col min="3" max="3" width="6.7109375" bestFit="1" customWidth="1"/>
    <col min="4" max="4" width="11" bestFit="1" customWidth="1"/>
    <col min="5" max="5" width="7.7109375" bestFit="1" customWidth="1"/>
    <col min="6" max="6" width="9.85546875" bestFit="1" customWidth="1"/>
    <col min="7" max="7" width="8.28515625" bestFit="1" customWidth="1"/>
    <col min="8" max="8" width="9.7109375" bestFit="1" customWidth="1"/>
    <col min="9" max="9" width="10.42578125" bestFit="1" customWidth="1"/>
    <col min="12" max="12" width="11.140625" customWidth="1"/>
    <col min="22" max="22" width="11.28515625" customWidth="1"/>
    <col min="32" max="32" width="10.85546875" customWidth="1"/>
  </cols>
  <sheetData>
    <row r="2" spans="1:46" x14ac:dyDescent="0.25">
      <c r="A2" s="7" t="s">
        <v>24</v>
      </c>
      <c r="K2" s="7" t="s">
        <v>25</v>
      </c>
      <c r="U2" s="7" t="s">
        <v>26</v>
      </c>
      <c r="AE2" s="29" t="s">
        <v>27</v>
      </c>
      <c r="AF2" s="6"/>
      <c r="AG2" s="6"/>
      <c r="AH2" s="6"/>
      <c r="AI2" s="30" t="s">
        <v>28</v>
      </c>
      <c r="AJ2" s="6"/>
      <c r="AK2" s="6"/>
      <c r="AL2" s="31" t="s">
        <v>29</v>
      </c>
      <c r="AM2" s="6"/>
      <c r="AP2" s="25" t="s">
        <v>34</v>
      </c>
      <c r="AT2" s="24" t="s">
        <v>35</v>
      </c>
    </row>
    <row r="3" spans="1:46" x14ac:dyDescent="0.25">
      <c r="AE3" s="32" t="s">
        <v>30</v>
      </c>
      <c r="AF3" s="6"/>
      <c r="AG3" s="6"/>
      <c r="AH3" s="6"/>
      <c r="AI3" s="33" t="s">
        <v>31</v>
      </c>
      <c r="AJ3" s="6"/>
      <c r="AK3" s="6"/>
      <c r="AL3" s="6"/>
      <c r="AM3" s="6"/>
      <c r="AP3" s="26" t="s">
        <v>36</v>
      </c>
      <c r="AT3" s="27" t="s">
        <v>37</v>
      </c>
    </row>
    <row r="4" spans="1:46" ht="30" x14ac:dyDescent="0.2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L4" s="12" t="s">
        <v>5</v>
      </c>
      <c r="V4" s="8" t="s">
        <v>2</v>
      </c>
      <c r="W4" s="8" t="s">
        <v>3</v>
      </c>
      <c r="AE4" s="34" t="s">
        <v>32</v>
      </c>
      <c r="AF4" s="6"/>
      <c r="AG4" s="6"/>
      <c r="AH4" s="6"/>
      <c r="AI4" s="35" t="s">
        <v>33</v>
      </c>
      <c r="AJ4" s="6"/>
      <c r="AK4" s="6"/>
      <c r="AL4" s="6"/>
      <c r="AM4" s="6"/>
      <c r="AP4" s="19" t="s">
        <v>38</v>
      </c>
      <c r="AT4" s="23" t="s">
        <v>39</v>
      </c>
    </row>
    <row r="5" spans="1:46" ht="30" x14ac:dyDescent="0.25">
      <c r="A5" s="9">
        <v>1008</v>
      </c>
      <c r="B5" s="10">
        <v>45319</v>
      </c>
      <c r="C5" s="9" t="s">
        <v>20</v>
      </c>
      <c r="D5" s="9" t="s">
        <v>21</v>
      </c>
      <c r="E5" s="9" t="s">
        <v>15</v>
      </c>
      <c r="F5" s="9" t="s">
        <v>12</v>
      </c>
      <c r="G5" s="9">
        <v>6</v>
      </c>
      <c r="H5" s="9">
        <v>20000</v>
      </c>
      <c r="I5" s="11">
        <v>120000</v>
      </c>
      <c r="L5" s="13" t="s">
        <v>12</v>
      </c>
      <c r="V5" s="9" t="s">
        <v>9</v>
      </c>
      <c r="W5" s="9" t="s">
        <v>10</v>
      </c>
      <c r="AE5" s="1" t="s">
        <v>0</v>
      </c>
      <c r="AF5" s="1" t="s">
        <v>1</v>
      </c>
      <c r="AG5" s="1" t="s">
        <v>2</v>
      </c>
      <c r="AH5" s="1" t="s">
        <v>3</v>
      </c>
      <c r="AI5" s="1" t="s">
        <v>4</v>
      </c>
      <c r="AJ5" s="1" t="s">
        <v>5</v>
      </c>
      <c r="AK5" s="1" t="s">
        <v>6</v>
      </c>
      <c r="AL5" s="1" t="s">
        <v>7</v>
      </c>
      <c r="AM5" s="1" t="s">
        <v>8</v>
      </c>
      <c r="AT5" s="4" t="s">
        <v>40</v>
      </c>
    </row>
    <row r="6" spans="1:46" ht="30" x14ac:dyDescent="0.25">
      <c r="A6" s="9">
        <v>1001</v>
      </c>
      <c r="B6" s="10">
        <v>45296</v>
      </c>
      <c r="C6" s="9" t="s">
        <v>9</v>
      </c>
      <c r="D6" s="9" t="s">
        <v>10</v>
      </c>
      <c r="E6" s="9" t="s">
        <v>11</v>
      </c>
      <c r="F6" s="9" t="s">
        <v>12</v>
      </c>
      <c r="G6" s="9">
        <v>2</v>
      </c>
      <c r="H6" s="9">
        <v>50000</v>
      </c>
      <c r="I6" s="11">
        <v>100000</v>
      </c>
      <c r="AE6" s="2">
        <v>1007</v>
      </c>
      <c r="AF6" s="3">
        <v>45316</v>
      </c>
      <c r="AG6" s="2" t="s">
        <v>16</v>
      </c>
      <c r="AH6" s="2" t="s">
        <v>17</v>
      </c>
      <c r="AI6" s="2" t="s">
        <v>23</v>
      </c>
      <c r="AJ6" s="2" t="s">
        <v>19</v>
      </c>
      <c r="AK6" s="28">
        <v>2</v>
      </c>
      <c r="AL6" s="2">
        <v>10000</v>
      </c>
      <c r="AM6" s="2">
        <v>20000</v>
      </c>
      <c r="AT6" s="4" t="s">
        <v>41</v>
      </c>
    </row>
    <row r="7" spans="1:46" ht="30" x14ac:dyDescent="0.25">
      <c r="A7" s="9">
        <v>1002</v>
      </c>
      <c r="B7" s="10">
        <v>45299</v>
      </c>
      <c r="C7" s="9" t="s">
        <v>13</v>
      </c>
      <c r="D7" s="9" t="s">
        <v>14</v>
      </c>
      <c r="E7" s="9" t="s">
        <v>15</v>
      </c>
      <c r="F7" s="9" t="s">
        <v>12</v>
      </c>
      <c r="G7" s="9">
        <v>5</v>
      </c>
      <c r="H7" s="9">
        <v>20000</v>
      </c>
      <c r="I7" s="11">
        <v>100000</v>
      </c>
      <c r="K7" s="16" t="s">
        <v>0</v>
      </c>
      <c r="L7" s="16" t="s">
        <v>1</v>
      </c>
      <c r="M7" s="16" t="s">
        <v>2</v>
      </c>
      <c r="N7" s="16" t="s">
        <v>3</v>
      </c>
      <c r="O7" s="16" t="s">
        <v>4</v>
      </c>
      <c r="P7" s="16" t="s">
        <v>5</v>
      </c>
      <c r="Q7" s="16" t="s">
        <v>6</v>
      </c>
      <c r="R7" s="16" t="s">
        <v>7</v>
      </c>
      <c r="S7" s="16" t="s">
        <v>8</v>
      </c>
      <c r="U7" s="8" t="s">
        <v>0</v>
      </c>
      <c r="V7" s="8" t="s">
        <v>1</v>
      </c>
      <c r="W7" s="8" t="s">
        <v>2</v>
      </c>
      <c r="X7" s="8" t="s">
        <v>3</v>
      </c>
      <c r="Y7" s="8" t="s">
        <v>4</v>
      </c>
      <c r="Z7" s="8" t="s">
        <v>5</v>
      </c>
      <c r="AA7" s="8" t="s">
        <v>6</v>
      </c>
      <c r="AB7" s="8" t="s">
        <v>7</v>
      </c>
      <c r="AC7" s="8" t="s">
        <v>8</v>
      </c>
      <c r="AE7" s="2">
        <v>1004</v>
      </c>
      <c r="AF7" s="3">
        <v>45306</v>
      </c>
      <c r="AG7" s="2" t="s">
        <v>20</v>
      </c>
      <c r="AH7" s="2" t="s">
        <v>21</v>
      </c>
      <c r="AI7" s="2" t="s">
        <v>22</v>
      </c>
      <c r="AJ7" s="2" t="s">
        <v>19</v>
      </c>
      <c r="AK7" s="2">
        <v>3</v>
      </c>
      <c r="AL7" s="2">
        <v>7000</v>
      </c>
      <c r="AM7" s="2">
        <v>21000</v>
      </c>
    </row>
    <row r="8" spans="1:46" ht="30" x14ac:dyDescent="0.25">
      <c r="A8" s="9">
        <v>1005</v>
      </c>
      <c r="B8" s="10">
        <v>45309</v>
      </c>
      <c r="C8" s="9" t="s">
        <v>9</v>
      </c>
      <c r="D8" s="9" t="s">
        <v>10</v>
      </c>
      <c r="E8" s="9" t="s">
        <v>15</v>
      </c>
      <c r="F8" s="9" t="s">
        <v>12</v>
      </c>
      <c r="G8" s="9">
        <v>4</v>
      </c>
      <c r="H8" s="9">
        <v>20000</v>
      </c>
      <c r="I8" s="11">
        <v>80000</v>
      </c>
      <c r="K8" s="14">
        <v>1008</v>
      </c>
      <c r="L8" s="15">
        <v>45319</v>
      </c>
      <c r="M8" s="14" t="s">
        <v>20</v>
      </c>
      <c r="N8" s="14" t="s">
        <v>21</v>
      </c>
      <c r="O8" s="14" t="s">
        <v>15</v>
      </c>
      <c r="P8" s="17" t="s">
        <v>12</v>
      </c>
      <c r="Q8" s="14">
        <v>6</v>
      </c>
      <c r="R8" s="14">
        <v>20000</v>
      </c>
      <c r="S8" s="14">
        <v>120000</v>
      </c>
      <c r="U8" s="9">
        <v>1001</v>
      </c>
      <c r="V8" s="10">
        <v>45296</v>
      </c>
      <c r="W8" s="11" t="s">
        <v>9</v>
      </c>
      <c r="X8" s="11" t="s">
        <v>10</v>
      </c>
      <c r="Y8" s="9" t="s">
        <v>11</v>
      </c>
      <c r="Z8" s="9" t="s">
        <v>12</v>
      </c>
      <c r="AA8" s="9">
        <v>2</v>
      </c>
      <c r="AB8" s="9">
        <v>50000</v>
      </c>
      <c r="AC8" s="9">
        <v>100000</v>
      </c>
      <c r="AE8" s="2">
        <v>1010</v>
      </c>
      <c r="AF8" s="3">
        <v>45327</v>
      </c>
      <c r="AG8" s="2" t="s">
        <v>13</v>
      </c>
      <c r="AH8" s="2" t="s">
        <v>14</v>
      </c>
      <c r="AI8" s="2" t="s">
        <v>18</v>
      </c>
      <c r="AJ8" s="2" t="s">
        <v>19</v>
      </c>
      <c r="AK8" s="2">
        <v>7</v>
      </c>
      <c r="AL8" s="2">
        <v>3000</v>
      </c>
      <c r="AM8" s="2">
        <v>21000</v>
      </c>
    </row>
    <row r="9" spans="1:46" ht="30" x14ac:dyDescent="0.25">
      <c r="A9" s="9">
        <v>1006</v>
      </c>
      <c r="B9" s="10">
        <v>45311</v>
      </c>
      <c r="C9" s="9" t="s">
        <v>13</v>
      </c>
      <c r="D9" s="9" t="s">
        <v>14</v>
      </c>
      <c r="E9" s="9" t="s">
        <v>11</v>
      </c>
      <c r="F9" s="9" t="s">
        <v>12</v>
      </c>
      <c r="G9" s="9">
        <v>1</v>
      </c>
      <c r="H9" s="9">
        <v>50000</v>
      </c>
      <c r="I9" s="11">
        <v>50000</v>
      </c>
      <c r="K9" s="14">
        <v>1001</v>
      </c>
      <c r="L9" s="15">
        <v>45296</v>
      </c>
      <c r="M9" s="14" t="s">
        <v>9</v>
      </c>
      <c r="N9" s="14" t="s">
        <v>10</v>
      </c>
      <c r="O9" s="14" t="s">
        <v>11</v>
      </c>
      <c r="P9" s="17" t="s">
        <v>12</v>
      </c>
      <c r="Q9" s="14">
        <v>2</v>
      </c>
      <c r="R9" s="14">
        <v>50000</v>
      </c>
      <c r="S9" s="14">
        <v>100000</v>
      </c>
      <c r="U9" s="9">
        <v>1005</v>
      </c>
      <c r="V9" s="10">
        <v>45309</v>
      </c>
      <c r="W9" s="11" t="s">
        <v>9</v>
      </c>
      <c r="X9" s="11" t="s">
        <v>10</v>
      </c>
      <c r="Y9" s="9" t="s">
        <v>15</v>
      </c>
      <c r="Z9" s="9" t="s">
        <v>12</v>
      </c>
      <c r="AA9" s="9">
        <v>4</v>
      </c>
      <c r="AB9" s="9">
        <v>20000</v>
      </c>
      <c r="AC9" s="9">
        <v>80000</v>
      </c>
      <c r="AE9" s="2">
        <v>1003</v>
      </c>
      <c r="AF9" s="3">
        <v>45303</v>
      </c>
      <c r="AG9" s="2" t="s">
        <v>16</v>
      </c>
      <c r="AH9" s="2" t="s">
        <v>17</v>
      </c>
      <c r="AI9" s="2" t="s">
        <v>18</v>
      </c>
      <c r="AJ9" s="2" t="s">
        <v>19</v>
      </c>
      <c r="AK9" s="2">
        <v>10</v>
      </c>
      <c r="AL9" s="2">
        <v>3000</v>
      </c>
      <c r="AM9" s="2">
        <v>30000</v>
      </c>
    </row>
    <row r="10" spans="1:46" ht="30" x14ac:dyDescent="0.25">
      <c r="A10" s="9">
        <v>1009</v>
      </c>
      <c r="B10" s="10">
        <v>45324</v>
      </c>
      <c r="C10" s="9" t="s">
        <v>9</v>
      </c>
      <c r="D10" s="9" t="s">
        <v>10</v>
      </c>
      <c r="E10" s="9" t="s">
        <v>22</v>
      </c>
      <c r="F10" s="9" t="s">
        <v>19</v>
      </c>
      <c r="G10" s="9">
        <v>5</v>
      </c>
      <c r="H10" s="9">
        <v>7000</v>
      </c>
      <c r="I10" s="11">
        <v>35000</v>
      </c>
      <c r="K10" s="14">
        <v>1002</v>
      </c>
      <c r="L10" s="15">
        <v>45299</v>
      </c>
      <c r="M10" s="14" t="s">
        <v>13</v>
      </c>
      <c r="N10" s="14" t="s">
        <v>14</v>
      </c>
      <c r="O10" s="14" t="s">
        <v>15</v>
      </c>
      <c r="P10" s="17" t="s">
        <v>12</v>
      </c>
      <c r="Q10" s="14">
        <v>5</v>
      </c>
      <c r="R10" s="14">
        <v>20000</v>
      </c>
      <c r="S10" s="14">
        <v>100000</v>
      </c>
      <c r="U10" s="9">
        <v>1009</v>
      </c>
      <c r="V10" s="10">
        <v>45324</v>
      </c>
      <c r="W10" s="11" t="s">
        <v>9</v>
      </c>
      <c r="X10" s="11" t="s">
        <v>10</v>
      </c>
      <c r="Y10" s="9" t="s">
        <v>22</v>
      </c>
      <c r="Z10" s="9" t="s">
        <v>19</v>
      </c>
      <c r="AA10" s="9">
        <v>5</v>
      </c>
      <c r="AB10" s="9">
        <v>7000</v>
      </c>
      <c r="AC10" s="9">
        <v>35000</v>
      </c>
      <c r="AE10" s="2">
        <v>1009</v>
      </c>
      <c r="AF10" s="3">
        <v>45324</v>
      </c>
      <c r="AG10" s="2" t="s">
        <v>9</v>
      </c>
      <c r="AH10" s="2" t="s">
        <v>10</v>
      </c>
      <c r="AI10" s="2" t="s">
        <v>22</v>
      </c>
      <c r="AJ10" s="2" t="s">
        <v>19</v>
      </c>
      <c r="AK10" s="2">
        <v>5</v>
      </c>
      <c r="AL10" s="2">
        <v>7000</v>
      </c>
      <c r="AM10" s="2">
        <v>35000</v>
      </c>
    </row>
    <row r="11" spans="1:46" ht="30" x14ac:dyDescent="0.25">
      <c r="A11" s="9">
        <v>1003</v>
      </c>
      <c r="B11" s="10">
        <v>45303</v>
      </c>
      <c r="C11" s="9" t="s">
        <v>16</v>
      </c>
      <c r="D11" s="9" t="s">
        <v>17</v>
      </c>
      <c r="E11" s="9" t="s">
        <v>18</v>
      </c>
      <c r="F11" s="9" t="s">
        <v>19</v>
      </c>
      <c r="G11" s="9">
        <v>10</v>
      </c>
      <c r="H11" s="9">
        <v>3000</v>
      </c>
      <c r="I11" s="11">
        <v>30000</v>
      </c>
      <c r="K11" s="14">
        <v>1005</v>
      </c>
      <c r="L11" s="15">
        <v>45309</v>
      </c>
      <c r="M11" s="14" t="s">
        <v>9</v>
      </c>
      <c r="N11" s="14" t="s">
        <v>10</v>
      </c>
      <c r="O11" s="14" t="s">
        <v>15</v>
      </c>
      <c r="P11" s="17" t="s">
        <v>12</v>
      </c>
      <c r="Q11" s="14">
        <v>4</v>
      </c>
      <c r="R11" s="14">
        <v>20000</v>
      </c>
      <c r="S11" s="14">
        <v>80000</v>
      </c>
      <c r="AE11" s="2">
        <v>1006</v>
      </c>
      <c r="AF11" s="3">
        <v>45311</v>
      </c>
      <c r="AG11" s="2" t="s">
        <v>13</v>
      </c>
      <c r="AH11" s="2" t="s">
        <v>14</v>
      </c>
      <c r="AI11" s="2" t="s">
        <v>11</v>
      </c>
      <c r="AJ11" s="2" t="s">
        <v>12</v>
      </c>
      <c r="AK11" s="2">
        <v>1</v>
      </c>
      <c r="AL11" s="2">
        <v>50000</v>
      </c>
      <c r="AM11" s="2">
        <v>50000</v>
      </c>
    </row>
    <row r="12" spans="1:46" ht="30" x14ac:dyDescent="0.25">
      <c r="A12" s="9">
        <v>1004</v>
      </c>
      <c r="B12" s="10">
        <v>45306</v>
      </c>
      <c r="C12" s="9" t="s">
        <v>20</v>
      </c>
      <c r="D12" s="9" t="s">
        <v>21</v>
      </c>
      <c r="E12" s="9" t="s">
        <v>22</v>
      </c>
      <c r="F12" s="9" t="s">
        <v>19</v>
      </c>
      <c r="G12" s="9">
        <v>3</v>
      </c>
      <c r="H12" s="9">
        <v>7000</v>
      </c>
      <c r="I12" s="11">
        <v>21000</v>
      </c>
      <c r="K12" s="14">
        <v>1006</v>
      </c>
      <c r="L12" s="15">
        <v>45311</v>
      </c>
      <c r="M12" s="14" t="s">
        <v>13</v>
      </c>
      <c r="N12" s="14" t="s">
        <v>14</v>
      </c>
      <c r="O12" s="14" t="s">
        <v>11</v>
      </c>
      <c r="P12" s="17" t="s">
        <v>12</v>
      </c>
      <c r="Q12" s="14">
        <v>1</v>
      </c>
      <c r="R12" s="14">
        <v>50000</v>
      </c>
      <c r="S12" s="14">
        <v>50000</v>
      </c>
      <c r="AE12" s="2">
        <v>1005</v>
      </c>
      <c r="AF12" s="3">
        <v>45309</v>
      </c>
      <c r="AG12" s="2" t="s">
        <v>9</v>
      </c>
      <c r="AH12" s="2" t="s">
        <v>10</v>
      </c>
      <c r="AI12" s="2" t="s">
        <v>15</v>
      </c>
      <c r="AJ12" s="2" t="s">
        <v>12</v>
      </c>
      <c r="AK12" s="2">
        <v>4</v>
      </c>
      <c r="AL12" s="2">
        <v>20000</v>
      </c>
      <c r="AM12" s="2">
        <v>80000</v>
      </c>
    </row>
    <row r="13" spans="1:46" ht="30" x14ac:dyDescent="0.25">
      <c r="A13" s="9">
        <v>1010</v>
      </c>
      <c r="B13" s="10">
        <v>45327</v>
      </c>
      <c r="C13" s="9" t="s">
        <v>13</v>
      </c>
      <c r="D13" s="9" t="s">
        <v>14</v>
      </c>
      <c r="E13" s="9" t="s">
        <v>18</v>
      </c>
      <c r="F13" s="9" t="s">
        <v>19</v>
      </c>
      <c r="G13" s="9">
        <v>7</v>
      </c>
      <c r="H13" s="9">
        <v>3000</v>
      </c>
      <c r="I13" s="11">
        <v>21000</v>
      </c>
      <c r="AE13" s="2">
        <v>1001</v>
      </c>
      <c r="AF13" s="3">
        <v>45296</v>
      </c>
      <c r="AG13" s="2" t="s">
        <v>9</v>
      </c>
      <c r="AH13" s="2" t="s">
        <v>10</v>
      </c>
      <c r="AI13" s="2" t="s">
        <v>11</v>
      </c>
      <c r="AJ13" s="2" t="s">
        <v>12</v>
      </c>
      <c r="AK13" s="2">
        <v>2</v>
      </c>
      <c r="AL13" s="2">
        <v>50000</v>
      </c>
      <c r="AM13" s="2">
        <v>100000</v>
      </c>
    </row>
    <row r="14" spans="1:46" ht="30" x14ac:dyDescent="0.25">
      <c r="A14" s="9">
        <v>1007</v>
      </c>
      <c r="B14" s="10">
        <v>45316</v>
      </c>
      <c r="C14" s="9" t="s">
        <v>16</v>
      </c>
      <c r="D14" s="9" t="s">
        <v>17</v>
      </c>
      <c r="E14" s="9" t="s">
        <v>23</v>
      </c>
      <c r="F14" s="9" t="s">
        <v>19</v>
      </c>
      <c r="G14" s="9">
        <v>2</v>
      </c>
      <c r="H14" s="9">
        <v>10000</v>
      </c>
      <c r="I14" s="11">
        <v>20000</v>
      </c>
      <c r="AE14" s="2">
        <v>1002</v>
      </c>
      <c r="AF14" s="3">
        <v>45299</v>
      </c>
      <c r="AG14" s="2" t="s">
        <v>13</v>
      </c>
      <c r="AH14" s="2" t="s">
        <v>14</v>
      </c>
      <c r="AI14" s="2" t="s">
        <v>15</v>
      </c>
      <c r="AJ14" s="2" t="s">
        <v>12</v>
      </c>
      <c r="AK14" s="2">
        <v>5</v>
      </c>
      <c r="AL14" s="2">
        <v>20000</v>
      </c>
      <c r="AM14" s="2">
        <v>100000</v>
      </c>
    </row>
    <row r="15" spans="1:46" ht="30" x14ac:dyDescent="0.25">
      <c r="AE15" s="2">
        <v>1008</v>
      </c>
      <c r="AF15" s="3">
        <v>45319</v>
      </c>
      <c r="AG15" s="2" t="s">
        <v>20</v>
      </c>
      <c r="AH15" s="2" t="s">
        <v>21</v>
      </c>
      <c r="AI15" s="2" t="s">
        <v>15</v>
      </c>
      <c r="AJ15" s="2" t="s">
        <v>12</v>
      </c>
      <c r="AK15" s="2">
        <v>6</v>
      </c>
      <c r="AL15" s="2">
        <v>20000</v>
      </c>
      <c r="AM15" s="2">
        <v>120000</v>
      </c>
    </row>
    <row r="16" spans="1:46" x14ac:dyDescent="0.25">
      <c r="AE16" s="18" t="s">
        <v>42</v>
      </c>
      <c r="AF16" s="6"/>
      <c r="AG16" s="6"/>
      <c r="AH16" s="6"/>
      <c r="AI16" s="6"/>
      <c r="AJ16" s="6"/>
      <c r="AK16" s="6"/>
      <c r="AL16" s="6"/>
      <c r="AM16" s="5">
        <f>SUM(AM6:AM15)</f>
        <v>577000</v>
      </c>
    </row>
    <row r="17" spans="31:39" x14ac:dyDescent="0.25">
      <c r="AE17" s="20" t="s">
        <v>43</v>
      </c>
      <c r="AF17" s="6"/>
      <c r="AG17" s="6"/>
      <c r="AH17" s="6"/>
      <c r="AI17" s="6"/>
      <c r="AJ17" s="6"/>
      <c r="AK17" s="5">
        <f>SUM(AK6:AK15)</f>
        <v>45</v>
      </c>
      <c r="AL17" s="6"/>
      <c r="AM17" s="6"/>
    </row>
    <row r="18" spans="31:39" x14ac:dyDescent="0.25">
      <c r="AE18" s="21" t="s">
        <v>44</v>
      </c>
      <c r="AF18" s="6"/>
      <c r="AG18" s="6"/>
      <c r="AH18" s="6"/>
      <c r="AI18" s="6"/>
      <c r="AJ18" s="6"/>
      <c r="AK18" s="6"/>
      <c r="AL18" s="6"/>
      <c r="AM18" s="5">
        <f>AVERAGE(AM6:AM15)</f>
        <v>57700</v>
      </c>
    </row>
    <row r="19" spans="31:39" x14ac:dyDescent="0.25">
      <c r="AE19" s="22" t="s">
        <v>45</v>
      </c>
      <c r="AF19" s="6"/>
      <c r="AG19" s="6"/>
      <c r="AH19" s="6"/>
      <c r="AI19" s="6"/>
      <c r="AJ19" s="6"/>
      <c r="AK19" s="5">
        <f>AVERAGE(AK6:AK15)</f>
        <v>4.5</v>
      </c>
      <c r="AL19" s="6"/>
      <c r="AM19" s="6"/>
    </row>
    <row r="20" spans="31:39" x14ac:dyDescent="0.25">
      <c r="AE20" s="36" t="s">
        <v>46</v>
      </c>
      <c r="AF20" s="6"/>
      <c r="AG20" s="6"/>
      <c r="AH20" s="5">
        <f>COUNT(AE6:AE15)</f>
        <v>10</v>
      </c>
      <c r="AI20" s="5"/>
      <c r="AJ20" s="5"/>
      <c r="AK20" s="6"/>
      <c r="AL20" s="6"/>
      <c r="AM20" s="6"/>
    </row>
    <row r="21" spans="31:39" x14ac:dyDescent="0.25">
      <c r="AE21" s="37" t="s">
        <v>47</v>
      </c>
      <c r="AF21" s="6"/>
      <c r="AG21" s="6"/>
      <c r="AH21" s="5">
        <f>COUNTA(AJ6:AJ10)</f>
        <v>5</v>
      </c>
      <c r="AI21" s="5"/>
      <c r="AJ21" s="5"/>
      <c r="AK21" s="6"/>
      <c r="AL21" s="6"/>
      <c r="AM21" s="6"/>
    </row>
    <row r="22" spans="31:39" x14ac:dyDescent="0.25">
      <c r="AE22" s="38" t="s">
        <v>48</v>
      </c>
      <c r="AF22" s="6"/>
      <c r="AG22" s="6"/>
      <c r="AH22" s="5"/>
      <c r="AI22" s="5"/>
      <c r="AJ22" s="5">
        <f>SUM(AM11:AM15)</f>
        <v>450000</v>
      </c>
      <c r="AK22" s="6"/>
      <c r="AL22" s="6"/>
      <c r="AM22" s="6"/>
    </row>
    <row r="23" spans="31:39" x14ac:dyDescent="0.25">
      <c r="AE23" s="39" t="s">
        <v>49</v>
      </c>
      <c r="AF23" s="6"/>
      <c r="AG23" s="6"/>
      <c r="AH23" s="5">
        <f>SUM(AM12,AM13,AM10)</f>
        <v>215000</v>
      </c>
      <c r="AI23" s="6"/>
      <c r="AJ23" s="6"/>
      <c r="AK23" s="6"/>
      <c r="AL23" s="6"/>
      <c r="AM23" s="6"/>
    </row>
    <row r="24" spans="31:39" x14ac:dyDescent="0.25">
      <c r="AE24" s="38" t="s">
        <v>50</v>
      </c>
      <c r="AF24" s="6"/>
      <c r="AG24" s="6"/>
      <c r="AH24" s="6"/>
      <c r="AI24" s="5">
        <f>SUM(AM12,AM13)</f>
        <v>180000</v>
      </c>
      <c r="AJ24" s="6"/>
      <c r="AK24" s="6"/>
      <c r="AL24" s="6"/>
      <c r="AM24" s="6"/>
    </row>
    <row r="25" spans="31:39" x14ac:dyDescent="0.25">
      <c r="AE25" s="40" t="s">
        <v>51</v>
      </c>
      <c r="AF25" s="6"/>
      <c r="AG25" s="6"/>
      <c r="AH25" s="6"/>
      <c r="AI25" s="6">
        <f>SUMIFS(AM6:AM15,AH6:AH15,"Priya",AG6:AG15,"West")</f>
        <v>171000</v>
      </c>
      <c r="AJ25" s="6"/>
      <c r="AK25" s="6"/>
      <c r="AL25" s="6"/>
      <c r="AM25" s="6"/>
    </row>
    <row r="26" spans="31:39" x14ac:dyDescent="0.25">
      <c r="AE26" s="22" t="s">
        <v>52</v>
      </c>
      <c r="AF26" s="6"/>
      <c r="AG26" s="6"/>
      <c r="AH26" s="6"/>
      <c r="AI26" s="6"/>
      <c r="AJ26" s="6"/>
      <c r="AK26" s="6">
        <f>COUNTIFS(AJ6:AJ15,AJ5="Electronics",AK6:AK15,AK5&gt;3)</f>
        <v>0</v>
      </c>
      <c r="AL26" s="6"/>
      <c r="AM26" s="6"/>
    </row>
  </sheetData>
  <conditionalFormatting sqref="AK6:AK15">
    <cfRule type="cellIs" dxfId="1" priority="1" operator="lessThan">
      <formula>3</formula>
    </cfRule>
  </conditionalFormatting>
  <conditionalFormatting sqref="AM6:AM15">
    <cfRule type="cellIs" dxfId="0" priority="2" operator="greaterThan">
      <formula>100000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ANNASHYA KUNDU</cp:lastModifiedBy>
  <dcterms:created xsi:type="dcterms:W3CDTF">2026-03-04T02:35:16Z</dcterms:created>
  <dcterms:modified xsi:type="dcterms:W3CDTF">2026-03-07T20:03:25Z</dcterms:modified>
</cp:coreProperties>
</file>