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D2E5ECE-3AD5-4939-87E2-CA4B35306394}" xr6:coauthVersionLast="47" xr6:coauthVersionMax="47" xr10:uidLastSave="{00000000-0000-0000-0000-000000000000}"/>
  <bookViews>
    <workbookView xWindow="-120" yWindow="-120" windowWidth="29040" windowHeight="15720" activeTab="1" xr2:uid="{2CE48592-67DA-4AFC-90C2-FAB71330BA3E}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/>
  <c r="Q15" i="1" a="1"/>
  <c r="Q15" i="1" s="1"/>
  <c r="Q16" i="1" a="1"/>
  <c r="Q16" i="1"/>
  <c r="Q17" i="1" a="1"/>
  <c r="Q17" i="1" s="1"/>
  <c r="Q18" i="1" a="1"/>
  <c r="Q18" i="1"/>
  <c r="Q19" i="1" a="1"/>
  <c r="Q19" i="1" s="1"/>
  <c r="Q20" i="1" a="1"/>
  <c r="Q20" i="1"/>
  <c r="Q21" i="1" a="1"/>
  <c r="Q21" i="1" s="1"/>
  <c r="Q22" i="1" a="1"/>
  <c r="Q22" i="1"/>
  <c r="Q23" i="1" a="1"/>
  <c r="Q23" i="1" s="1"/>
  <c r="Q24" i="1" a="1"/>
  <c r="Q24" i="1"/>
  <c r="Q25" i="1" a="1"/>
  <c r="Q25" i="1" s="1"/>
  <c r="Q26" i="1" a="1"/>
  <c r="Q26" i="1" s="1"/>
  <c r="Q27" i="1" a="1"/>
  <c r="Q27" i="1" s="1"/>
  <c r="Q28" i="1" a="1"/>
  <c r="Q28" i="1"/>
  <c r="Q29" i="1" a="1"/>
  <c r="Q29" i="1" s="1"/>
  <c r="Q30" i="1" a="1"/>
  <c r="Q30" i="1"/>
  <c r="Q31" i="1" a="1"/>
  <c r="Q31" i="1" s="1"/>
  <c r="Q32" i="1" a="1"/>
  <c r="Q32" i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/>
  <c r="Q47" i="1" a="1"/>
  <c r="Q47" i="1" s="1"/>
  <c r="Q48" i="1" a="1"/>
  <c r="Q48" i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/>
  <c r="Q63" i="1" a="1"/>
  <c r="Q63" i="1" s="1"/>
  <c r="Q64" i="1" a="1"/>
  <c r="Q64" i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/>
  <c r="Q77" i="1" a="1"/>
  <c r="Q77" i="1" s="1"/>
  <c r="Q78" i="1" a="1"/>
  <c r="Q78" i="1"/>
  <c r="Q79" i="1" a="1"/>
  <c r="Q79" i="1" s="1"/>
  <c r="Q80" i="1" a="1"/>
  <c r="Q80" i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/>
  <c r="Q95" i="1" a="1"/>
  <c r="Q95" i="1" s="1"/>
  <c r="Q96" i="1" a="1"/>
  <c r="Q96" i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/>
  <c r="Q109" i="1" a="1"/>
  <c r="Q109" i="1" s="1"/>
  <c r="Q110" i="1" a="1"/>
  <c r="Q110" i="1"/>
  <c r="Q111" i="1" a="1"/>
  <c r="Q111" i="1" s="1"/>
  <c r="Q112" i="1" a="1"/>
  <c r="Q112" i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/>
  <c r="Q127" i="1" a="1"/>
  <c r="Q127" i="1" s="1"/>
  <c r="Q128" i="1" a="1"/>
  <c r="Q128" i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/>
  <c r="Q143" i="1" a="1"/>
  <c r="Q143" i="1" s="1"/>
  <c r="Q144" i="1" a="1"/>
  <c r="Q144" i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/>
  <c r="Q159" i="1" a="1"/>
  <c r="Q159" i="1" s="1"/>
  <c r="Q160" i="1" a="1"/>
  <c r="Q160" i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/>
  <c r="Q173" i="1" a="1"/>
  <c r="Q173" i="1" s="1"/>
  <c r="Q174" i="1" a="1"/>
  <c r="Q174" i="1"/>
  <c r="Q175" i="1" a="1"/>
  <c r="Q175" i="1" s="1"/>
  <c r="Q176" i="1" a="1"/>
  <c r="Q176" i="1"/>
  <c r="Q177" i="1" a="1"/>
  <c r="Q177" i="1" s="1"/>
  <c r="Q178" i="1" a="1"/>
  <c r="Q178" i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/>
  <c r="Q191" i="1" a="1"/>
  <c r="Q191" i="1" s="1"/>
  <c r="Q192" i="1" a="1"/>
  <c r="Q192" i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/>
  <c r="Q205" i="1" a="1"/>
  <c r="Q205" i="1" s="1"/>
  <c r="Q206" i="1" a="1"/>
  <c r="Q206" i="1"/>
  <c r="Q207" i="1" a="1"/>
  <c r="Q207" i="1" s="1"/>
  <c r="Q208" i="1" a="1"/>
  <c r="Q208" i="1"/>
  <c r="Q209" i="1" a="1"/>
  <c r="Q209" i="1" s="1"/>
  <c r="Q210" i="1" a="1"/>
  <c r="Q210" i="1"/>
  <c r="Q211" i="1" a="1"/>
  <c r="Q211" i="1" s="1"/>
  <c r="Q212" i="1" a="1"/>
  <c r="Q212" i="1" s="1"/>
  <c r="Q213" i="1" a="1"/>
  <c r="Q213" i="1" s="1"/>
  <c r="Q214" i="1" a="1"/>
  <c r="Q214" i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/>
  <c r="Q221" i="1" a="1"/>
  <c r="Q221" i="1" s="1"/>
  <c r="Q222" i="1" a="1"/>
  <c r="Q222" i="1"/>
  <c r="Q223" i="1" a="1"/>
  <c r="Q223" i="1" s="1"/>
  <c r="Q224" i="1" a="1"/>
  <c r="Q224" i="1"/>
  <c r="Q225" i="1" a="1"/>
  <c r="Q225" i="1" s="1"/>
  <c r="Q226" i="1" a="1"/>
  <c r="Q226" i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/>
  <c r="Q239" i="1" a="1"/>
  <c r="Q239" i="1" s="1"/>
  <c r="Q240" i="1" a="1"/>
  <c r="Q240" i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/>
  <c r="Q253" i="1" a="1"/>
  <c r="Q253" i="1" s="1"/>
  <c r="Q254" i="1" a="1"/>
  <c r="Q254" i="1"/>
  <c r="Q255" i="1" a="1"/>
  <c r="Q255" i="1" s="1"/>
  <c r="Q256" i="1" a="1"/>
  <c r="Q256" i="1"/>
  <c r="Q257" i="1" a="1"/>
  <c r="Q257" i="1" s="1"/>
  <c r="Q258" i="1" a="1"/>
  <c r="Q258" i="1"/>
  <c r="Q259" i="1" a="1"/>
  <c r="Q259" i="1" s="1"/>
  <c r="Q260" i="1" a="1"/>
  <c r="Q260" i="1" s="1"/>
  <c r="Q261" i="1" a="1"/>
  <c r="Q261" i="1" s="1"/>
  <c r="Q262" i="1" a="1"/>
  <c r="Q262" i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/>
  <c r="Q269" i="1" a="1"/>
  <c r="Q269" i="1" s="1"/>
  <c r="Q270" i="1" a="1"/>
  <c r="Q270" i="1"/>
  <c r="Q271" i="1" a="1"/>
  <c r="Q271" i="1" s="1"/>
  <c r="Q272" i="1" a="1"/>
  <c r="Q272" i="1"/>
  <c r="Q273" i="1" a="1"/>
  <c r="Q273" i="1" s="1"/>
  <c r="Q274" i="1" a="1"/>
  <c r="Q274" i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/>
  <c r="Q287" i="1" a="1"/>
  <c r="Q287" i="1" s="1"/>
  <c r="Q288" i="1" a="1"/>
  <c r="Q288" i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/>
  <c r="Q301" i="1" a="1"/>
  <c r="Q301" i="1" s="1"/>
  <c r="Q302" i="1" a="1"/>
  <c r="Q302" i="1"/>
  <c r="Q303" i="1" a="1"/>
  <c r="Q303" i="1" s="1"/>
  <c r="Q304" i="1" a="1"/>
  <c r="Q304" i="1"/>
  <c r="Q305" i="1" a="1"/>
  <c r="Q305" i="1" s="1"/>
  <c r="Q306" i="1" a="1"/>
  <c r="Q306" i="1"/>
  <c r="Q307" i="1" a="1"/>
  <c r="Q307" i="1" s="1"/>
  <c r="Q308" i="1" a="1"/>
  <c r="Q308" i="1" s="1"/>
  <c r="Q309" i="1" a="1"/>
  <c r="Q309" i="1" s="1"/>
  <c r="Q310" i="1" a="1"/>
  <c r="Q310" i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/>
  <c r="Q317" i="1" a="1"/>
  <c r="Q317" i="1" s="1"/>
  <c r="Q318" i="1" a="1"/>
  <c r="Q318" i="1"/>
  <c r="Q319" i="1" a="1"/>
  <c r="Q319" i="1" s="1"/>
  <c r="Q320" i="1" a="1"/>
  <c r="Q320" i="1"/>
  <c r="Q321" i="1" a="1"/>
  <c r="Q321" i="1" s="1"/>
  <c r="Q322" i="1" a="1"/>
  <c r="Q322" i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/>
  <c r="Q335" i="1" a="1"/>
  <c r="Q335" i="1" s="1"/>
  <c r="Q336" i="1" a="1"/>
  <c r="Q336" i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/>
  <c r="Q343" i="1" a="1"/>
  <c r="Q343" i="1"/>
  <c r="Q344" i="1" a="1"/>
  <c r="Q344" i="1"/>
  <c r="Q345" i="1" a="1"/>
  <c r="Q345" i="1" s="1"/>
  <c r="Q346" i="1" a="1"/>
  <c r="Q346" i="1"/>
  <c r="Q347" i="1" a="1"/>
  <c r="Q347" i="1"/>
  <c r="Q348" i="1" a="1"/>
  <c r="Q348" i="1"/>
  <c r="Q349" i="1" a="1"/>
  <c r="Q349" i="1" s="1"/>
  <c r="Q350" i="1" a="1"/>
  <c r="Q350" i="1"/>
  <c r="Q351" i="1" a="1"/>
  <c r="Q351" i="1"/>
  <c r="Q352" i="1" a="1"/>
  <c r="Q352" i="1"/>
  <c r="Q353" i="1" a="1"/>
  <c r="Q353" i="1" s="1"/>
  <c r="Q354" i="1" a="1"/>
  <c r="Q354" i="1"/>
  <c r="Q355" i="1" a="1"/>
  <c r="Q355" i="1"/>
  <c r="Q356" i="1" a="1"/>
  <c r="Q356" i="1"/>
  <c r="Q357" i="1" a="1"/>
  <c r="Q357" i="1" s="1"/>
  <c r="Q358" i="1" a="1"/>
  <c r="Q358" i="1"/>
  <c r="Q359" i="1" a="1"/>
  <c r="Q359" i="1"/>
  <c r="Q360" i="1" a="1"/>
  <c r="Q360" i="1"/>
  <c r="Q361" i="1" a="1"/>
  <c r="Q361" i="1" s="1"/>
  <c r="Q362" i="1" a="1"/>
  <c r="Q362" i="1"/>
  <c r="Q363" i="1" a="1"/>
  <c r="Q363" i="1"/>
  <c r="Q364" i="1" a="1"/>
  <c r="Q364" i="1"/>
  <c r="Q365" i="1" a="1"/>
  <c r="Q365" i="1" s="1"/>
  <c r="Q366" i="1" a="1"/>
  <c r="Q366" i="1"/>
  <c r="Q367" i="1" a="1"/>
  <c r="Q367" i="1"/>
  <c r="Q368" i="1" a="1"/>
  <c r="Q368" i="1"/>
  <c r="Q369" i="1" a="1"/>
  <c r="Q369" i="1" s="1"/>
  <c r="Q370" i="1" a="1"/>
  <c r="Q370" i="1"/>
  <c r="Q371" i="1" a="1"/>
  <c r="Q371" i="1"/>
  <c r="Q372" i="1" a="1"/>
  <c r="Q372" i="1"/>
  <c r="Q373" i="1" a="1"/>
  <c r="Q373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<sst xmlns="http://schemas.openxmlformats.org/spreadsheetml/2006/main" count="2647" uniqueCount="98">
  <si>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</si>
  <si>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</si>
  <si>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</si>
  <si>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</si>
  <si>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</si>
  <si>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</si>
  <si>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</si>
  <si>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</si>
  <si>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</si>
  <si>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</si>
  <si>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</si>
  <si>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</si>
  <si>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</si>
  <si>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</si>
  <si>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</si>
  <si>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</si>
  <si>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</si>
  <si>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</si>
  <si>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</si>
  <si>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</si>
  <si>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</si>
  <si>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</si>
  <si>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</si>
  <si>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</si>
  <si>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</si>
  <si>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</si>
  <si>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</si>
  <si>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</si>
  <si>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</si>
  <si>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</si>
  <si>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</si>
  <si>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</si>
  <si>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</si>
  <si>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</si>
  <si>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</si>
  <si>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</si>
  <si>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</si>
  <si>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</si>
  <si>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</si>
  <si>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</si>
  <si>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</si>
  <si>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</si>
  <si>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</si>
  <si>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</si>
  <si>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</si>
  <si>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</si>
  <si>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</si>
  <si>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</si>
  <si>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</si>
  <si>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</si>
  <si>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</si>
  <si>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</si>
  <si>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</si>
  <si>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</si>
  <si>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</si>
  <si>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</si>
  <si>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</si>
  <si>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</si>
  <si>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</si>
  <si>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</si>
  <si>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</si>
  <si>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</si>
  <si>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</si>
  <si>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</si>
  <si>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</si>
  <si>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</si>
  <si>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</si>
  <si>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</si>
  <si>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</si>
  <si>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</si>
  <si>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Category</t>
  </si>
  <si>
    <t>Discount Category</t>
  </si>
  <si>
    <t>Unit Category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</si>
  <si>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</si>
  <si>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</si>
  <si>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</si>
  <si>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</si>
  <si>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</si>
  <si>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</si>
  <si>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</si>
  <si>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</si>
  <si>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</si>
  <si>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&gt;=70</t>
  </si>
  <si>
    <t>B</t>
  </si>
  <si>
    <t>C</t>
  </si>
  <si>
    <t>PASS</t>
  </si>
  <si>
    <t>FAIL</t>
  </si>
  <si>
    <t>&gt;=50</t>
  </si>
  <si>
    <t>&gt;=40</t>
  </si>
  <si>
    <t>&lt;40</t>
  </si>
  <si>
    <t>AMIT</t>
  </si>
  <si>
    <t>RAHUL</t>
  </si>
  <si>
    <t>RIYA</t>
  </si>
  <si>
    <t>PRIYA</t>
  </si>
  <si>
    <t>ARIJIT</t>
  </si>
  <si>
    <t>AMAN</t>
  </si>
  <si>
    <t>PRITI</t>
  </si>
  <si>
    <t>RUMAN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</si>
</sst>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R373"/>
  <sheetViews>
    <sheetView topLeftCell="B1" workbookViewId="0">
      <selection activeCell="R2" sqref="R2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10.28515625" bestFit="1" customWidth="1"/>
    <col min="16" max="16" width="9.140625" style="1"/>
    <col min="17" max="17" width="17.28515625" style="1" bestFit="1" customWidth="1"/>
    <col min="18" max="18" width="13.28515625" style="1" bestFit="1" customWidth="1"/>
  </cols>
  <sheetData>
    <row r="1" spans="1:1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69</v>
      </c>
      <c r="P1" s="3" t="s">
        <v>70</v>
      </c>
      <c r="Q1" s="3" t="s">
        <v>71</v>
      </c>
      <c r="R1" s="3" t="s">
        <v>72</v>
      </c>
    </row>
    <row r="2" spans="1:18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6">
        <f>M2*L2</f>
        <v>19907.09</v>
      </c>
      <c r="P2" s="1" t="str">
        <f>IF(O2&gt;=15000,"High","Low")</f>
        <v>High</v>
      </c>
      <c r="Q2" s="1" t="str" cm="1">
        <f t="array" ref="Q2">_xlfn.IFS(N2&gt;=10,"HIGH",N2&gt;=5,"MEDIUM",N2&lt;5,"LOW")</f>
        <v>LOW</v>
      </c>
      <c r="R2" s="1" t="str">
        <f>IF(L2&gt;8,"HIGH",IF(L2&gt;=4,"MEDIUM","LOW"))</f>
        <v>MEDIUM</v>
      </c>
    </row>
    <row r="3" spans="1:18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6">
        <f t="shared" ref="O3:O66" si="0">M3*L3</f>
        <v>22727.07</v>
      </c>
      <c r="P3" s="1" t="str">
        <f t="shared" ref="P3:P66" si="1">IF(O3&gt;=15000,"High","Low")</f>
        <v>High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IF(L3&gt;8,"HIGH",IF(L3&gt;=4,"MEDIUM","LOW"))</f>
        <v>HIGH</v>
      </c>
    </row>
    <row r="4" spans="1:18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6">
        <f t="shared" si="0"/>
        <v>20846.04</v>
      </c>
      <c r="P4" s="1" t="str">
        <f t="shared" si="1"/>
        <v>High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18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6">
        <f t="shared" si="0"/>
        <v>1008.79</v>
      </c>
      <c r="P5" s="1" t="str">
        <f t="shared" si="1"/>
        <v>Low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18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6">
        <f t="shared" si="0"/>
        <v>24580.289999999997</v>
      </c>
      <c r="P6" s="1" t="str">
        <f t="shared" si="1"/>
        <v>High</v>
      </c>
      <c r="Q6" s="1" t="str" cm="1">
        <f t="array" ref="Q6">_xlfn.IFS(N6&gt;=10,"HIGH",N6&gt;=5,"MEDIUM",N6&lt;5,"LOW")</f>
        <v>HIGH</v>
      </c>
      <c r="R6" s="1" t="str">
        <f t="shared" si="2"/>
        <v>MEDIUM</v>
      </c>
    </row>
    <row r="7" spans="1:18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6">
        <f t="shared" si="0"/>
        <v>9568.6500000000015</v>
      </c>
      <c r="P7" s="1" t="str">
        <f t="shared" si="1"/>
        <v>Low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18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6">
        <f t="shared" si="0"/>
        <v>15152.1</v>
      </c>
      <c r="P8" s="1" t="str">
        <f t="shared" si="1"/>
        <v>High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18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6">
        <f t="shared" si="0"/>
        <v>9243.32</v>
      </c>
      <c r="P9" s="1" t="str">
        <f t="shared" si="1"/>
        <v>Low</v>
      </c>
      <c r="Q9" s="1" t="str" cm="1">
        <f t="array" ref="Q9">_xlfn.IFS(N9&gt;=10,"HIGH",N9&gt;=5,"MEDIUM",N9&lt;5,"LOW")</f>
        <v>HIGH</v>
      </c>
      <c r="R9" s="1" t="str">
        <f t="shared" si="2"/>
        <v>MEDIUM</v>
      </c>
    </row>
    <row r="10" spans="1:18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6">
        <f t="shared" si="0"/>
        <v>5490.2</v>
      </c>
      <c r="P10" s="1" t="str">
        <f t="shared" si="1"/>
        <v>Low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18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6">
        <f t="shared" si="0"/>
        <v>8903.3000000000011</v>
      </c>
      <c r="P11" s="1" t="str">
        <f t="shared" si="1"/>
        <v>Low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18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6">
        <f t="shared" si="0"/>
        <v>19231.5</v>
      </c>
      <c r="P12" s="1" t="str">
        <f t="shared" si="1"/>
        <v>High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18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6">
        <f t="shared" si="0"/>
        <v>1634.1000000000001</v>
      </c>
      <c r="P13" s="1" t="str">
        <f t="shared" si="1"/>
        <v>Low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18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6">
        <f t="shared" si="0"/>
        <v>25287.200000000001</v>
      </c>
      <c r="P14" s="1" t="str">
        <f t="shared" si="1"/>
        <v>High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18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6">
        <f t="shared" si="0"/>
        <v>8594.16</v>
      </c>
      <c r="P15" s="1" t="str">
        <f t="shared" si="1"/>
        <v>Low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</row>
    <row r="16" spans="1:18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6">
        <f t="shared" si="0"/>
        <v>6350.31</v>
      </c>
      <c r="P16" s="1" t="str">
        <f t="shared" si="1"/>
        <v>Low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6">
        <f t="shared" si="0"/>
        <v>4763.6000000000004</v>
      </c>
      <c r="P17" s="1" t="str">
        <f t="shared" si="1"/>
        <v>Low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18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6">
        <f t="shared" si="0"/>
        <v>509.82</v>
      </c>
      <c r="P18" s="1" t="str">
        <f t="shared" si="1"/>
        <v>Low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6">
        <f t="shared" si="0"/>
        <v>2165.81</v>
      </c>
      <c r="P19" s="1" t="str">
        <f t="shared" si="1"/>
        <v>Low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6">
        <f t="shared" si="0"/>
        <v>1980.6</v>
      </c>
      <c r="P20" s="1" t="str">
        <f t="shared" si="1"/>
        <v>Low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6">
        <f t="shared" si="0"/>
        <v>7918.62</v>
      </c>
      <c r="P21" s="1" t="str">
        <f t="shared" si="1"/>
        <v>Low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6">
        <f t="shared" si="0"/>
        <v>7084.74</v>
      </c>
      <c r="P22" s="1" t="str">
        <f t="shared" si="1"/>
        <v>Low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6">
        <f t="shared" si="0"/>
        <v>4766.0200000000004</v>
      </c>
      <c r="P23" s="1" t="str">
        <f t="shared" si="1"/>
        <v>Low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6">
        <f t="shared" si="0"/>
        <v>5603.48</v>
      </c>
      <c r="P24" s="1" t="str">
        <f t="shared" si="1"/>
        <v>Low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6">
        <f t="shared" si="0"/>
        <v>3606.31</v>
      </c>
      <c r="P25" s="1" t="str">
        <f t="shared" si="1"/>
        <v>Low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6">
        <f t="shared" si="0"/>
        <v>18113.64</v>
      </c>
      <c r="P26" s="1" t="str">
        <f t="shared" si="1"/>
        <v>High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6">
        <f t="shared" si="0"/>
        <v>3998.61</v>
      </c>
      <c r="P27" s="1" t="str">
        <f t="shared" si="1"/>
        <v>Low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6">
        <f t="shared" si="0"/>
        <v>10797.45</v>
      </c>
      <c r="P28" s="1" t="str">
        <f t="shared" si="1"/>
        <v>Low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6">
        <f t="shared" si="0"/>
        <v>19239.78</v>
      </c>
      <c r="P29" s="1" t="str">
        <f t="shared" si="1"/>
        <v>High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6">
        <f t="shared" si="0"/>
        <v>2278.41</v>
      </c>
      <c r="P30" s="1" t="str">
        <f t="shared" si="1"/>
        <v>Low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6">
        <f t="shared" si="0"/>
        <v>349.38</v>
      </c>
      <c r="P31" s="1" t="str">
        <f t="shared" si="1"/>
        <v>Low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6">
        <f t="shared" si="0"/>
        <v>11478.25</v>
      </c>
      <c r="P32" s="1" t="str">
        <f t="shared" si="1"/>
        <v>Low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6">
        <f t="shared" si="0"/>
        <v>3002.96</v>
      </c>
      <c r="P33" s="1" t="str">
        <f t="shared" si="1"/>
        <v>Low</v>
      </c>
      <c r="Q33" s="1" t="str" cm="1">
        <f t="array" ref="Q33">_xlfn.IFS(N33&gt;=10,"HIGH",N33&gt;=5,"MEDIUM",N33&lt;5,"LOW")</f>
        <v>MEDIUM</v>
      </c>
      <c r="R33" s="1" t="str">
        <f t="shared" si="2"/>
        <v>MEDIUM</v>
      </c>
    </row>
    <row r="34" spans="1:18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6">
        <f t="shared" si="0"/>
        <v>23542.26</v>
      </c>
      <c r="P34" s="1" t="str">
        <f t="shared" si="1"/>
        <v>High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6">
        <f t="shared" si="0"/>
        <v>9177.5399999999991</v>
      </c>
      <c r="P35" s="1" t="str">
        <f t="shared" si="1"/>
        <v>Low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6">
        <f t="shared" si="0"/>
        <v>25652.48</v>
      </c>
      <c r="P36" s="1" t="str">
        <f t="shared" si="1"/>
        <v>High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6">
        <f t="shared" si="0"/>
        <v>11639.5</v>
      </c>
      <c r="P37" s="1" t="str">
        <f t="shared" si="1"/>
        <v>Low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6">
        <f t="shared" si="0"/>
        <v>3413.16</v>
      </c>
      <c r="P38" s="1" t="str">
        <f t="shared" si="1"/>
        <v>Low</v>
      </c>
      <c r="Q38" s="1" t="str" cm="1">
        <f t="array" ref="Q38">_xlfn.IFS(N38&gt;=10,"HIGH",N38&gt;=5,"MEDIUM",N38&lt;5,"LOW")</f>
        <v>MEDIUM</v>
      </c>
      <c r="R38" s="1" t="str">
        <f t="shared" si="2"/>
        <v>MEDIUM</v>
      </c>
    </row>
    <row r="39" spans="1:18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6">
        <f t="shared" si="0"/>
        <v>4812.22</v>
      </c>
      <c r="P39" s="1" t="str">
        <f t="shared" si="1"/>
        <v>Low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6">
        <f t="shared" si="0"/>
        <v>16585.940000000002</v>
      </c>
      <c r="P40" s="1" t="str">
        <f t="shared" si="1"/>
        <v>High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6">
        <f t="shared" si="0"/>
        <v>18499.5</v>
      </c>
      <c r="P41" s="1" t="str">
        <f t="shared" si="1"/>
        <v>High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6">
        <f t="shared" si="0"/>
        <v>25270.400000000001</v>
      </c>
      <c r="P42" s="1" t="str">
        <f t="shared" si="1"/>
        <v>High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6">
        <f t="shared" si="0"/>
        <v>4846.68</v>
      </c>
      <c r="P43" s="1" t="str">
        <f t="shared" si="1"/>
        <v>Low</v>
      </c>
      <c r="Q43" s="1" t="str" cm="1">
        <f t="array" ref="Q43">_xlfn.IFS(N43&gt;=10,"HIGH",N43&gt;=5,"MEDIUM",N43&lt;5,"LOW")</f>
        <v>HIGH</v>
      </c>
      <c r="R43" s="1" t="str">
        <f t="shared" si="2"/>
        <v>MEDIUM</v>
      </c>
    </row>
    <row r="44" spans="1:18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6">
        <f t="shared" si="0"/>
        <v>4681.75</v>
      </c>
      <c r="P44" s="1" t="str">
        <f t="shared" si="1"/>
        <v>Low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6">
        <f t="shared" si="0"/>
        <v>858.04</v>
      </c>
      <c r="P45" s="1" t="str">
        <f t="shared" si="1"/>
        <v>Low</v>
      </c>
      <c r="Q45" s="1" t="str" cm="1">
        <f t="array" ref="Q45">_xlfn.IFS(N45&gt;=10,"HIGH",N45&gt;=5,"MEDIUM",N45&lt;5,"LOW")</f>
        <v>HIGH</v>
      </c>
      <c r="R45" s="1" t="str">
        <f t="shared" si="2"/>
        <v>MEDIUM</v>
      </c>
    </row>
    <row r="46" spans="1:18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6">
        <f t="shared" si="0"/>
        <v>2764.92</v>
      </c>
      <c r="P46" s="1" t="str">
        <f t="shared" si="1"/>
        <v>Low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6">
        <f t="shared" si="0"/>
        <v>3558.32</v>
      </c>
      <c r="P47" s="1" t="str">
        <f t="shared" si="1"/>
        <v>Low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6">
        <f t="shared" si="0"/>
        <v>1769.93</v>
      </c>
      <c r="P48" s="1" t="str">
        <f t="shared" si="1"/>
        <v>Low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6">
        <f t="shared" si="0"/>
        <v>12332.4</v>
      </c>
      <c r="P49" s="1" t="str">
        <f t="shared" si="1"/>
        <v>Low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6">
        <f t="shared" si="0"/>
        <v>22547.22</v>
      </c>
      <c r="P50" s="1" t="str">
        <f t="shared" si="1"/>
        <v>High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6">
        <f t="shared" si="0"/>
        <v>8102.64</v>
      </c>
      <c r="P51" s="1" t="str">
        <f t="shared" si="1"/>
        <v>Low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6">
        <f t="shared" si="0"/>
        <v>8005.5599999999995</v>
      </c>
      <c r="P52" s="1" t="str">
        <f t="shared" si="1"/>
        <v>Low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6">
        <f t="shared" si="0"/>
        <v>12670.35</v>
      </c>
      <c r="P53" s="1" t="str">
        <f t="shared" si="1"/>
        <v>Low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6">
        <f t="shared" si="0"/>
        <v>11428.96</v>
      </c>
      <c r="P54" s="1" t="str">
        <f t="shared" si="1"/>
        <v>Low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6">
        <f t="shared" si="0"/>
        <v>7446.38</v>
      </c>
      <c r="P55" s="1" t="str">
        <f t="shared" si="1"/>
        <v>Low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6">
        <f t="shared" si="0"/>
        <v>20416.32</v>
      </c>
      <c r="P56" s="1" t="str">
        <f t="shared" si="1"/>
        <v>High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6">
        <f t="shared" si="0"/>
        <v>9110.9700000000012</v>
      </c>
      <c r="P57" s="1" t="str">
        <f t="shared" si="1"/>
        <v>Low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6">
        <f t="shared" si="0"/>
        <v>16978.88</v>
      </c>
      <c r="P58" s="1" t="str">
        <f t="shared" si="1"/>
        <v>High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6">
        <f t="shared" si="0"/>
        <v>25026</v>
      </c>
      <c r="P59" s="1" t="str">
        <f t="shared" si="1"/>
        <v>High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6">
        <f t="shared" si="0"/>
        <v>2236.92</v>
      </c>
      <c r="P60" s="1" t="str">
        <f t="shared" si="1"/>
        <v>Low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6">
        <f t="shared" si="0"/>
        <v>15874.26</v>
      </c>
      <c r="P61" s="1" t="str">
        <f t="shared" si="1"/>
        <v>High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6">
        <f t="shared" si="0"/>
        <v>2082.4</v>
      </c>
      <c r="P62" s="1" t="str">
        <f t="shared" si="1"/>
        <v>Low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6">
        <f t="shared" si="0"/>
        <v>5546.42</v>
      </c>
      <c r="P63" s="1" t="str">
        <f t="shared" si="1"/>
        <v>Low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6">
        <f t="shared" si="0"/>
        <v>30157.68</v>
      </c>
      <c r="P64" s="1" t="str">
        <f t="shared" si="1"/>
        <v>High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6">
        <f t="shared" si="0"/>
        <v>330.13</v>
      </c>
      <c r="P65" s="1" t="str">
        <f t="shared" si="1"/>
        <v>Low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6">
        <f t="shared" si="0"/>
        <v>8283.9600000000009</v>
      </c>
      <c r="P66" s="1" t="str">
        <f t="shared" si="1"/>
        <v>Low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6">
        <f t="shared" ref="O67:O130" si="3">M67*L67</f>
        <v>11021.880000000001</v>
      </c>
      <c r="P67" s="1" t="str">
        <f t="shared" ref="P67:P130" si="4">IF(O67&gt;=15000,"High","Low")</f>
        <v>Low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IF(L67&gt;8,"HIGH",IF(L67&gt;=4,"MEDIUM","LOW"))</f>
        <v>MEDIUM</v>
      </c>
    </row>
    <row r="68" spans="1:18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6">
        <f t="shared" si="3"/>
        <v>14448.6</v>
      </c>
      <c r="P68" s="1" t="str">
        <f t="shared" si="4"/>
        <v>Low</v>
      </c>
      <c r="Q68" s="1" t="str" cm="1">
        <f t="array" ref="Q68">_xlfn.IFS(N68&gt;=10,"HIGH",N68&gt;=5,"MEDIUM",N68&lt;5,"LOW")</f>
        <v>HIGH</v>
      </c>
      <c r="R68" s="1" t="str">
        <f t="shared" si="5"/>
        <v>MEDIUM</v>
      </c>
    </row>
    <row r="69" spans="1:18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6">
        <f t="shared" si="3"/>
        <v>11564.130000000001</v>
      </c>
      <c r="P69" s="1" t="str">
        <f t="shared" si="4"/>
        <v>Low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6">
        <f t="shared" si="3"/>
        <v>5579.5199999999995</v>
      </c>
      <c r="P70" s="1" t="str">
        <f t="shared" si="4"/>
        <v>Low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6">
        <f t="shared" si="3"/>
        <v>3037.61</v>
      </c>
      <c r="P71" s="1" t="str">
        <f t="shared" si="4"/>
        <v>Low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6">
        <f t="shared" si="3"/>
        <v>6590.67</v>
      </c>
      <c r="P72" s="1" t="str">
        <f t="shared" si="4"/>
        <v>Low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6">
        <f t="shared" si="3"/>
        <v>8881.84</v>
      </c>
      <c r="P73" s="1" t="str">
        <f t="shared" si="4"/>
        <v>Low</v>
      </c>
      <c r="Q73" s="1" t="str" cm="1">
        <f t="array" ref="Q73">_xlfn.IFS(N73&gt;=10,"HIGH",N73&gt;=5,"MEDIUM",N73&lt;5,"LOW")</f>
        <v>LOW</v>
      </c>
      <c r="R73" s="1" t="str">
        <f t="shared" si="5"/>
        <v>MEDIUM</v>
      </c>
    </row>
    <row r="74" spans="1:18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6">
        <f t="shared" si="3"/>
        <v>6103.4000000000005</v>
      </c>
      <c r="P74" s="1" t="str">
        <f t="shared" si="4"/>
        <v>Low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6">
        <f t="shared" si="3"/>
        <v>2955.84</v>
      </c>
      <c r="P75" s="1" t="str">
        <f t="shared" si="4"/>
        <v>Low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6">
        <f t="shared" si="3"/>
        <v>11459.300000000001</v>
      </c>
      <c r="P76" s="1" t="str">
        <f t="shared" si="4"/>
        <v>Low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6">
        <f t="shared" si="3"/>
        <v>786.75</v>
      </c>
      <c r="P77" s="1" t="str">
        <f t="shared" si="4"/>
        <v>Low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6">
        <f t="shared" si="3"/>
        <v>21857.46</v>
      </c>
      <c r="P78" s="1" t="str">
        <f t="shared" si="4"/>
        <v>High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6">
        <f t="shared" si="3"/>
        <v>4510.1400000000003</v>
      </c>
      <c r="P79" s="1" t="str">
        <f t="shared" si="4"/>
        <v>Low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6">
        <f t="shared" si="3"/>
        <v>7978.72</v>
      </c>
      <c r="P80" s="1" t="str">
        <f t="shared" si="4"/>
        <v>Low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6">
        <f t="shared" si="3"/>
        <v>4290.72</v>
      </c>
      <c r="P81" s="1" t="str">
        <f t="shared" si="4"/>
        <v>Low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6">
        <f t="shared" si="3"/>
        <v>2883.94</v>
      </c>
      <c r="P82" s="1" t="str">
        <f t="shared" si="4"/>
        <v>Low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6">
        <f t="shared" si="3"/>
        <v>2074.2399999999998</v>
      </c>
      <c r="P83" s="1" t="str">
        <f t="shared" si="4"/>
        <v>Low</v>
      </c>
      <c r="Q83" s="1" t="str" cm="1">
        <f t="array" ref="Q83">_xlfn.IFS(N83&gt;=10,"HIGH",N83&gt;=5,"MEDIUM",N83&lt;5,"LOW")</f>
        <v>HIGH</v>
      </c>
      <c r="R83" s="1" t="str">
        <f t="shared" si="5"/>
        <v>MEDIUM</v>
      </c>
    </row>
    <row r="84" spans="1:18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6">
        <f t="shared" si="3"/>
        <v>9611.84</v>
      </c>
      <c r="P84" s="1" t="str">
        <f t="shared" si="4"/>
        <v>Low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6">
        <f t="shared" si="3"/>
        <v>11638.2</v>
      </c>
      <c r="P85" s="1" t="str">
        <f t="shared" si="4"/>
        <v>Low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6">
        <f t="shared" si="3"/>
        <v>16852.599999999999</v>
      </c>
      <c r="P86" s="1" t="str">
        <f t="shared" si="4"/>
        <v>High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6">
        <f t="shared" si="3"/>
        <v>1029.99</v>
      </c>
      <c r="P87" s="1" t="str">
        <f t="shared" si="4"/>
        <v>Low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6">
        <f t="shared" si="3"/>
        <v>17448.84</v>
      </c>
      <c r="P88" s="1" t="str">
        <f t="shared" si="4"/>
        <v>High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6">
        <f t="shared" si="3"/>
        <v>6446.08</v>
      </c>
      <c r="P89" s="1" t="str">
        <f t="shared" si="4"/>
        <v>Low</v>
      </c>
      <c r="Q89" s="1" t="str" cm="1">
        <f t="array" ref="Q89">_xlfn.IFS(N89&gt;=10,"HIGH",N89&gt;=5,"MEDIUM",N89&lt;5,"LOW")</f>
        <v>HIGH</v>
      </c>
      <c r="R89" s="1" t="str">
        <f t="shared" si="5"/>
        <v>MEDIUM</v>
      </c>
    </row>
    <row r="90" spans="1:18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6">
        <f t="shared" si="3"/>
        <v>4106.58</v>
      </c>
      <c r="P90" s="1" t="str">
        <f t="shared" si="4"/>
        <v>Low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6">
        <f t="shared" si="3"/>
        <v>2499.88</v>
      </c>
      <c r="P91" s="1" t="str">
        <f t="shared" si="4"/>
        <v>Low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6">
        <f t="shared" si="3"/>
        <v>4516.1100000000006</v>
      </c>
      <c r="P92" s="1" t="str">
        <f t="shared" si="4"/>
        <v>Low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6">
        <f t="shared" si="3"/>
        <v>5448.32</v>
      </c>
      <c r="P93" s="1" t="str">
        <f t="shared" si="4"/>
        <v>Low</v>
      </c>
      <c r="Q93" s="1" t="str" cm="1">
        <f t="array" ref="Q93">_xlfn.IFS(N93&gt;=10,"HIGH",N93&gt;=5,"MEDIUM",N93&lt;5,"LOW")</f>
        <v>HIGH</v>
      </c>
      <c r="R93" s="1" t="str">
        <f t="shared" si="5"/>
        <v>MEDIUM</v>
      </c>
    </row>
    <row r="94" spans="1:18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6">
        <f t="shared" si="3"/>
        <v>947.25</v>
      </c>
      <c r="P94" s="1" t="str">
        <f t="shared" si="4"/>
        <v>Low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6">
        <f t="shared" si="3"/>
        <v>22096.97</v>
      </c>
      <c r="P95" s="1" t="str">
        <f t="shared" si="4"/>
        <v>High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6">
        <f t="shared" si="3"/>
        <v>13465.44</v>
      </c>
      <c r="P96" s="1" t="str">
        <f t="shared" si="4"/>
        <v>Low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6">
        <f t="shared" si="3"/>
        <v>3718.06</v>
      </c>
      <c r="P97" s="1" t="str">
        <f t="shared" si="4"/>
        <v>Low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6">
        <f t="shared" si="3"/>
        <v>25132.38</v>
      </c>
      <c r="P98" s="1" t="str">
        <f t="shared" si="4"/>
        <v>High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6">
        <f t="shared" si="3"/>
        <v>905.15</v>
      </c>
      <c r="P99" s="1" t="str">
        <f t="shared" si="4"/>
        <v>Low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6">
        <f t="shared" si="3"/>
        <v>11343.66</v>
      </c>
      <c r="P100" s="1" t="str">
        <f t="shared" si="4"/>
        <v>Low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6">
        <f t="shared" si="3"/>
        <v>5315.05</v>
      </c>
      <c r="P101" s="1" t="str">
        <f t="shared" si="4"/>
        <v>Low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6">
        <f t="shared" si="3"/>
        <v>1128.6199999999999</v>
      </c>
      <c r="P102" s="1" t="str">
        <f t="shared" si="4"/>
        <v>Low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6">
        <f t="shared" si="3"/>
        <v>12461.04</v>
      </c>
      <c r="P103" s="1" t="str">
        <f t="shared" si="4"/>
        <v>Low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6">
        <f t="shared" si="3"/>
        <v>1820.02</v>
      </c>
      <c r="P104" s="1" t="str">
        <f t="shared" si="4"/>
        <v>Low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6">
        <f t="shared" si="3"/>
        <v>4442.3599999999997</v>
      </c>
      <c r="P105" s="1" t="str">
        <f t="shared" si="4"/>
        <v>Low</v>
      </c>
      <c r="Q105" s="1" t="str" cm="1">
        <f t="array" ref="Q105">_xlfn.IFS(N105&gt;=10,"HIGH",N105&gt;=5,"MEDIUM",N105&lt;5,"LOW")</f>
        <v>HIGH</v>
      </c>
      <c r="R105" s="1" t="str">
        <f t="shared" si="5"/>
        <v>MEDIUM</v>
      </c>
    </row>
    <row r="106" spans="1:18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6">
        <f t="shared" si="3"/>
        <v>13546.619999999999</v>
      </c>
      <c r="P106" s="1" t="str">
        <f t="shared" si="4"/>
        <v>Low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6">
        <f t="shared" si="3"/>
        <v>10857.420000000002</v>
      </c>
      <c r="P107" s="1" t="str">
        <f t="shared" si="4"/>
        <v>Low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6">
        <f t="shared" si="3"/>
        <v>7242.18</v>
      </c>
      <c r="P108" s="1" t="str">
        <f t="shared" si="4"/>
        <v>Low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6">
        <f t="shared" si="3"/>
        <v>6849.78</v>
      </c>
      <c r="P109" s="1" t="str">
        <f t="shared" si="4"/>
        <v>Low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6">
        <f t="shared" si="3"/>
        <v>21328.62</v>
      </c>
      <c r="P110" s="1" t="str">
        <f t="shared" si="4"/>
        <v>High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6">
        <f t="shared" si="3"/>
        <v>4607.42</v>
      </c>
      <c r="P111" s="1" t="str">
        <f t="shared" si="4"/>
        <v>Low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6">
        <f t="shared" si="3"/>
        <v>26717.439999999999</v>
      </c>
      <c r="P112" s="1" t="str">
        <f t="shared" si="4"/>
        <v>High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6">
        <f t="shared" si="3"/>
        <v>20261.22</v>
      </c>
      <c r="P113" s="1" t="str">
        <f t="shared" si="4"/>
        <v>High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6">
        <f t="shared" si="3"/>
        <v>14161.400000000001</v>
      </c>
      <c r="P114" s="1" t="str">
        <f t="shared" si="4"/>
        <v>Low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6">
        <f t="shared" si="3"/>
        <v>6993.65</v>
      </c>
      <c r="P115" s="1" t="str">
        <f t="shared" si="4"/>
        <v>Low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6">
        <f t="shared" si="3"/>
        <v>7353.5</v>
      </c>
      <c r="P116" s="1" t="str">
        <f t="shared" si="4"/>
        <v>Low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6">
        <f t="shared" si="3"/>
        <v>8657.19</v>
      </c>
      <c r="P117" s="1" t="str">
        <f t="shared" si="4"/>
        <v>Low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6">
        <f t="shared" si="3"/>
        <v>31051.71</v>
      </c>
      <c r="P118" s="1" t="str">
        <f t="shared" si="4"/>
        <v>High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6">
        <f t="shared" si="3"/>
        <v>29777.759999999998</v>
      </c>
      <c r="P119" s="1" t="str">
        <f t="shared" si="4"/>
        <v>High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6">
        <f t="shared" si="3"/>
        <v>11077.26</v>
      </c>
      <c r="P120" s="1" t="str">
        <f t="shared" si="4"/>
        <v>Low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6">
        <f t="shared" si="3"/>
        <v>3958.56</v>
      </c>
      <c r="P121" s="1" t="str">
        <f t="shared" si="4"/>
        <v>Low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6">
        <f t="shared" si="3"/>
        <v>4865.01</v>
      </c>
      <c r="P122" s="1" t="str">
        <f t="shared" si="4"/>
        <v>Low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6">
        <f t="shared" si="3"/>
        <v>2534.4699999999998</v>
      </c>
      <c r="P123" s="1" t="str">
        <f t="shared" si="4"/>
        <v>Low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6">
        <f t="shared" si="3"/>
        <v>13296.15</v>
      </c>
      <c r="P124" s="1" t="str">
        <f t="shared" si="4"/>
        <v>Low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6">
        <f t="shared" si="3"/>
        <v>12614.92</v>
      </c>
      <c r="P125" s="1" t="str">
        <f t="shared" si="4"/>
        <v>Low</v>
      </c>
      <c r="Q125" s="1" t="str" cm="1">
        <f t="array" ref="Q125">_xlfn.IFS(N125&gt;=10,"HIGH",N125&gt;=5,"MEDIUM",N125&lt;5,"LOW")</f>
        <v>LOW</v>
      </c>
      <c r="R125" s="1" t="str">
        <f t="shared" si="5"/>
        <v>MEDIUM</v>
      </c>
    </row>
    <row r="126" spans="1:18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6">
        <f t="shared" si="3"/>
        <v>3990.85</v>
      </c>
      <c r="P126" s="1" t="str">
        <f t="shared" si="4"/>
        <v>Low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6">
        <f t="shared" si="3"/>
        <v>11517.960000000001</v>
      </c>
      <c r="P127" s="1" t="str">
        <f t="shared" si="4"/>
        <v>Low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6">
        <f t="shared" si="3"/>
        <v>10855.74</v>
      </c>
      <c r="P128" s="1" t="str">
        <f t="shared" si="4"/>
        <v>Low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6">
        <f t="shared" si="3"/>
        <v>912.67</v>
      </c>
      <c r="P129" s="1" t="str">
        <f t="shared" si="4"/>
        <v>Low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6">
        <f t="shared" si="3"/>
        <v>805.82</v>
      </c>
      <c r="P130" s="1" t="str">
        <f t="shared" si="4"/>
        <v>Low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6">
        <f t="shared" ref="O131:O194" si="6">M131*L131</f>
        <v>14261.64</v>
      </c>
      <c r="P131" s="1" t="str">
        <f t="shared" ref="P131:P194" si="7">IF(O131&gt;=15000,"High","Low")</f>
        <v>Low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IF(L131&gt;8,"HIGH",IF(L131&gt;=4,"MEDIUM","LOW"))</f>
        <v>MEDIUM</v>
      </c>
    </row>
    <row r="132" spans="1:18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6">
        <f t="shared" si="6"/>
        <v>3532.84</v>
      </c>
      <c r="P132" s="1" t="str">
        <f t="shared" si="7"/>
        <v>Low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6">
        <f t="shared" si="6"/>
        <v>2063.0500000000002</v>
      </c>
      <c r="P133" s="1" t="str">
        <f t="shared" si="7"/>
        <v>Low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6">
        <f t="shared" si="6"/>
        <v>25761.61</v>
      </c>
      <c r="P134" s="1" t="str">
        <f t="shared" si="7"/>
        <v>High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6">
        <f t="shared" si="6"/>
        <v>25109.759999999998</v>
      </c>
      <c r="P135" s="1" t="str">
        <f t="shared" si="7"/>
        <v>High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6">
        <f t="shared" si="6"/>
        <v>3914.58</v>
      </c>
      <c r="P136" s="1" t="str">
        <f t="shared" si="7"/>
        <v>Low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6">
        <f t="shared" si="6"/>
        <v>9307.48</v>
      </c>
      <c r="P137" s="1" t="str">
        <f t="shared" si="7"/>
        <v>Low</v>
      </c>
      <c r="Q137" s="1" t="str" cm="1">
        <f t="array" ref="Q137">_xlfn.IFS(N137&gt;=10,"HIGH",N137&gt;=5,"MEDIUM",N137&lt;5,"LOW")</f>
        <v>HIGH</v>
      </c>
      <c r="R137" s="1" t="str">
        <f t="shared" si="8"/>
        <v>MEDIUM</v>
      </c>
    </row>
    <row r="138" spans="1:18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6">
        <f t="shared" si="6"/>
        <v>11116.02</v>
      </c>
      <c r="P138" s="1" t="str">
        <f t="shared" si="7"/>
        <v>Low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6">
        <f t="shared" si="6"/>
        <v>9657.7800000000007</v>
      </c>
      <c r="P139" s="1" t="str">
        <f t="shared" si="7"/>
        <v>Low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6">
        <f t="shared" si="6"/>
        <v>23506.400000000001</v>
      </c>
      <c r="P140" s="1" t="str">
        <f t="shared" si="7"/>
        <v>High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6">
        <f t="shared" si="6"/>
        <v>5616.12</v>
      </c>
      <c r="P141" s="1" t="str">
        <f t="shared" si="7"/>
        <v>Low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6">
        <f t="shared" si="6"/>
        <v>7305.5</v>
      </c>
      <c r="P142" s="1" t="str">
        <f t="shared" si="7"/>
        <v>Low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6">
        <f t="shared" si="6"/>
        <v>3249.11</v>
      </c>
      <c r="P143" s="1" t="str">
        <f t="shared" si="7"/>
        <v>Low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6">
        <f t="shared" si="6"/>
        <v>1529.12</v>
      </c>
      <c r="P144" s="1" t="str">
        <f t="shared" si="7"/>
        <v>Low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6">
        <f t="shared" si="6"/>
        <v>5768.6</v>
      </c>
      <c r="P145" s="1" t="str">
        <f t="shared" si="7"/>
        <v>Low</v>
      </c>
      <c r="Q145" s="1" t="str" cm="1">
        <f t="array" ref="Q145">_xlfn.IFS(N145&gt;=10,"HIGH",N145&gt;=5,"MEDIUM",N145&lt;5,"LOW")</f>
        <v>HIGH</v>
      </c>
      <c r="R145" s="1" t="str">
        <f t="shared" si="8"/>
        <v>MEDIUM</v>
      </c>
    </row>
    <row r="146" spans="1:18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6">
        <f t="shared" si="6"/>
        <v>2674.2599999999998</v>
      </c>
      <c r="P146" s="1" t="str">
        <f t="shared" si="7"/>
        <v>Low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6">
        <f t="shared" si="6"/>
        <v>8437.84</v>
      </c>
      <c r="P147" s="1" t="str">
        <f t="shared" si="7"/>
        <v>Low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6">
        <f t="shared" si="6"/>
        <v>26768.639999999999</v>
      </c>
      <c r="P148" s="1" t="str">
        <f t="shared" si="7"/>
        <v>High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6">
        <f t="shared" si="6"/>
        <v>22804.62</v>
      </c>
      <c r="P149" s="1" t="str">
        <f t="shared" si="7"/>
        <v>High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6">
        <f t="shared" si="6"/>
        <v>5290.88</v>
      </c>
      <c r="P150" s="1" t="str">
        <f t="shared" si="7"/>
        <v>Low</v>
      </c>
      <c r="Q150" s="1" t="str" cm="1">
        <f t="array" ref="Q150">_xlfn.IFS(N150&gt;=10,"HIGH",N150&gt;=5,"MEDIUM",N150&lt;5,"LOW")</f>
        <v>MEDIUM</v>
      </c>
      <c r="R150" s="1" t="str">
        <f t="shared" si="8"/>
        <v>MEDIUM</v>
      </c>
    </row>
    <row r="151" spans="1:18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6">
        <f t="shared" si="6"/>
        <v>9347.1200000000008</v>
      </c>
      <c r="P151" s="1" t="str">
        <f t="shared" si="7"/>
        <v>Low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6">
        <f t="shared" si="6"/>
        <v>9820.7199999999993</v>
      </c>
      <c r="P152" s="1" t="str">
        <f t="shared" si="7"/>
        <v>Low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6">
        <f t="shared" si="6"/>
        <v>1219.22</v>
      </c>
      <c r="P153" s="1" t="str">
        <f t="shared" si="7"/>
        <v>Low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6">
        <f t="shared" si="6"/>
        <v>1153.32</v>
      </c>
      <c r="P154" s="1" t="str">
        <f t="shared" si="7"/>
        <v>Low</v>
      </c>
      <c r="Q154" s="1" t="str" cm="1">
        <f t="array" ref="Q154">_xlfn.IFS(N154&gt;=10,"HIGH",N154&gt;=5,"MEDIUM",N154&lt;5,"LOW")</f>
        <v>HIGH</v>
      </c>
      <c r="R154" s="1" t="str">
        <f t="shared" si="8"/>
        <v>MEDIUM</v>
      </c>
    </row>
    <row r="155" spans="1:18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6">
        <f t="shared" si="6"/>
        <v>14874.52</v>
      </c>
      <c r="P155" s="1" t="str">
        <f t="shared" si="7"/>
        <v>Low</v>
      </c>
      <c r="Q155" s="1" t="str" cm="1">
        <f t="array" ref="Q155">_xlfn.IFS(N155&gt;=10,"HIGH",N155&gt;=5,"MEDIUM",N155&lt;5,"LOW")</f>
        <v>HIGH</v>
      </c>
      <c r="R155" s="1" t="str">
        <f t="shared" si="8"/>
        <v>MEDIUM</v>
      </c>
    </row>
    <row r="156" spans="1:18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6">
        <f t="shared" si="6"/>
        <v>6809.18</v>
      </c>
      <c r="P156" s="1" t="str">
        <f t="shared" si="7"/>
        <v>Low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6">
        <f t="shared" si="6"/>
        <v>12369.14</v>
      </c>
      <c r="P157" s="1" t="str">
        <f t="shared" si="7"/>
        <v>Low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6">
        <f t="shared" si="6"/>
        <v>1498.32</v>
      </c>
      <c r="P158" s="1" t="str">
        <f t="shared" si="7"/>
        <v>Low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6">
        <f t="shared" si="6"/>
        <v>20754.72</v>
      </c>
      <c r="P159" s="1" t="str">
        <f t="shared" si="7"/>
        <v>High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6">
        <f t="shared" si="6"/>
        <v>30360.080000000002</v>
      </c>
      <c r="P160" s="1" t="str">
        <f t="shared" si="7"/>
        <v>High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6">
        <f t="shared" si="6"/>
        <v>28432.98</v>
      </c>
      <c r="P161" s="1" t="str">
        <f t="shared" si="7"/>
        <v>High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6">
        <f t="shared" si="6"/>
        <v>4073.31</v>
      </c>
      <c r="P162" s="1" t="str">
        <f t="shared" si="7"/>
        <v>Low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6">
        <f t="shared" si="6"/>
        <v>3312.93</v>
      </c>
      <c r="P163" s="1" t="str">
        <f t="shared" si="7"/>
        <v>Low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6">
        <f t="shared" si="6"/>
        <v>11344.84</v>
      </c>
      <c r="P164" s="1" t="str">
        <f t="shared" si="7"/>
        <v>Low</v>
      </c>
      <c r="Q164" s="1" t="str" cm="1">
        <f t="array" ref="Q164">_xlfn.IFS(N164&gt;=10,"HIGH",N164&gt;=5,"MEDIUM",N164&lt;5,"LOW")</f>
        <v>HIGH</v>
      </c>
      <c r="R164" s="1" t="str">
        <f t="shared" si="8"/>
        <v>MEDIUM</v>
      </c>
    </row>
    <row r="165" spans="1:18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6">
        <f t="shared" si="6"/>
        <v>1218.6300000000001</v>
      </c>
      <c r="P165" s="1" t="str">
        <f t="shared" si="7"/>
        <v>Low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6">
        <f t="shared" si="6"/>
        <v>3494.34</v>
      </c>
      <c r="P166" s="1" t="str">
        <f t="shared" si="7"/>
        <v>Low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6">
        <f t="shared" si="6"/>
        <v>17689.36</v>
      </c>
      <c r="P167" s="1" t="str">
        <f t="shared" si="7"/>
        <v>High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6">
        <f t="shared" si="6"/>
        <v>11646.900000000001</v>
      </c>
      <c r="P168" s="1" t="str">
        <f t="shared" si="7"/>
        <v>Low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6">
        <f t="shared" si="6"/>
        <v>4606.4900000000007</v>
      </c>
      <c r="P169" s="1" t="str">
        <f t="shared" si="7"/>
        <v>Low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6">
        <f t="shared" si="6"/>
        <v>10628.75</v>
      </c>
      <c r="P170" s="1" t="str">
        <f t="shared" si="7"/>
        <v>Low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6">
        <f t="shared" si="6"/>
        <v>6290.34</v>
      </c>
      <c r="P171" s="1" t="str">
        <f t="shared" si="7"/>
        <v>Low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6">
        <f t="shared" si="6"/>
        <v>508.81</v>
      </c>
      <c r="P172" s="1" t="str">
        <f t="shared" si="7"/>
        <v>Low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6">
        <f t="shared" si="6"/>
        <v>1730.41</v>
      </c>
      <c r="P173" s="1" t="str">
        <f t="shared" si="7"/>
        <v>Low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6">
        <f t="shared" si="6"/>
        <v>2336.5500000000002</v>
      </c>
      <c r="P174" s="1" t="str">
        <f t="shared" si="7"/>
        <v>Low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6">
        <f t="shared" si="6"/>
        <v>2745.18</v>
      </c>
      <c r="P175" s="1" t="str">
        <f t="shared" si="7"/>
        <v>Low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6">
        <f t="shared" si="6"/>
        <v>8040.5500000000011</v>
      </c>
      <c r="P176" s="1" t="str">
        <f t="shared" si="7"/>
        <v>Low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6">
        <f t="shared" si="6"/>
        <v>974.46</v>
      </c>
      <c r="P177" s="1" t="str">
        <f t="shared" si="7"/>
        <v>Low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6">
        <f t="shared" si="6"/>
        <v>1984.72</v>
      </c>
      <c r="P178" s="1" t="str">
        <f t="shared" si="7"/>
        <v>Low</v>
      </c>
      <c r="Q178" s="1" t="str" cm="1">
        <f t="array" ref="Q178">_xlfn.IFS(N178&gt;=10,"HIGH",N178&gt;=5,"MEDIUM",N178&lt;5,"LOW")</f>
        <v>HIGH</v>
      </c>
      <c r="R178" s="1" t="str">
        <f t="shared" si="8"/>
        <v>MEDIUM</v>
      </c>
    </row>
    <row r="179" spans="1:18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6">
        <f t="shared" si="6"/>
        <v>1788.02</v>
      </c>
      <c r="P179" s="1" t="str">
        <f t="shared" si="7"/>
        <v>Low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6">
        <f t="shared" si="6"/>
        <v>2067.8999999999996</v>
      </c>
      <c r="P180" s="1" t="str">
        <f t="shared" si="7"/>
        <v>Low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6">
        <f t="shared" si="6"/>
        <v>20494.88</v>
      </c>
      <c r="P181" s="1" t="str">
        <f t="shared" si="7"/>
        <v>High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6">
        <f t="shared" si="6"/>
        <v>5024.84</v>
      </c>
      <c r="P182" s="1" t="str">
        <f t="shared" si="7"/>
        <v>Low</v>
      </c>
      <c r="Q182" s="1" t="str" cm="1">
        <f t="array" ref="Q182">_xlfn.IFS(N182&gt;=10,"HIGH",N182&gt;=5,"MEDIUM",N182&lt;5,"LOW")</f>
        <v>HIGH</v>
      </c>
      <c r="R182" s="1" t="str">
        <f t="shared" si="8"/>
        <v>MEDIUM</v>
      </c>
    </row>
    <row r="183" spans="1:18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6">
        <f t="shared" si="6"/>
        <v>6135.1</v>
      </c>
      <c r="P183" s="1" t="str">
        <f t="shared" si="7"/>
        <v>Low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6">
        <f t="shared" si="6"/>
        <v>5712.76</v>
      </c>
      <c r="P184" s="1" t="str">
        <f t="shared" si="7"/>
        <v>Low</v>
      </c>
      <c r="Q184" s="1" t="str" cm="1">
        <f t="array" ref="Q184">_xlfn.IFS(N184&gt;=10,"HIGH",N184&gt;=5,"MEDIUM",N184&lt;5,"LOW")</f>
        <v>HIGH</v>
      </c>
      <c r="R184" s="1" t="str">
        <f t="shared" si="8"/>
        <v>MEDIUM</v>
      </c>
    </row>
    <row r="185" spans="1:18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6">
        <f t="shared" si="6"/>
        <v>8105.3099999999995</v>
      </c>
      <c r="P185" s="1" t="str">
        <f t="shared" si="7"/>
        <v>Low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6">
        <f t="shared" si="6"/>
        <v>17509.7</v>
      </c>
      <c r="P186" s="1" t="str">
        <f t="shared" si="7"/>
        <v>High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6">
        <f t="shared" si="6"/>
        <v>27652.32</v>
      </c>
      <c r="P187" s="1" t="str">
        <f t="shared" si="7"/>
        <v>High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6">
        <f t="shared" si="6"/>
        <v>6877.92</v>
      </c>
      <c r="P188" s="1" t="str">
        <f t="shared" si="7"/>
        <v>Low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6">
        <f t="shared" si="6"/>
        <v>7624.56</v>
      </c>
      <c r="P189" s="1" t="str">
        <f t="shared" si="7"/>
        <v>Low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6">
        <f t="shared" si="6"/>
        <v>10328.879999999999</v>
      </c>
      <c r="P190" s="1" t="str">
        <f t="shared" si="7"/>
        <v>Low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6">
        <f t="shared" si="6"/>
        <v>29252.720000000001</v>
      </c>
      <c r="P191" s="1" t="str">
        <f t="shared" si="7"/>
        <v>High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6">
        <f t="shared" si="6"/>
        <v>15802.850000000002</v>
      </c>
      <c r="P192" s="1" t="str">
        <f t="shared" si="7"/>
        <v>High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6">
        <f t="shared" si="6"/>
        <v>2975.54</v>
      </c>
      <c r="P193" s="1" t="str">
        <f t="shared" si="7"/>
        <v>Low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6">
        <f t="shared" si="6"/>
        <v>6878.84</v>
      </c>
      <c r="P194" s="1" t="str">
        <f t="shared" si="7"/>
        <v>Low</v>
      </c>
      <c r="Q194" s="1" t="str" cm="1">
        <f t="array" ref="Q194">_xlfn.IFS(N194&gt;=10,"HIGH",N194&gt;=5,"MEDIUM",N194&lt;5,"LOW")</f>
        <v>HIGH</v>
      </c>
      <c r="R194" s="1" t="str">
        <f t="shared" si="8"/>
        <v>MEDIUM</v>
      </c>
    </row>
    <row r="195" spans="1:18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6">
        <f t="shared" ref="O195:O258" si="9">M195*L195</f>
        <v>3167.1499999999996</v>
      </c>
      <c r="P195" s="1" t="str">
        <f t="shared" ref="P195:P258" si="10">IF(O195&gt;=15000,"High","Low")</f>
        <v>Low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IF(L195&gt;8,"HIGH",IF(L195&gt;=4,"MEDIUM","LOW"))</f>
        <v>MEDIUM</v>
      </c>
    </row>
    <row r="196" spans="1:18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6">
        <f t="shared" si="9"/>
        <v>4856.9400000000005</v>
      </c>
      <c r="P196" s="1" t="str">
        <f t="shared" si="10"/>
        <v>Low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6">
        <f t="shared" si="9"/>
        <v>13341.28</v>
      </c>
      <c r="P197" s="1" t="str">
        <f t="shared" si="10"/>
        <v>Low</v>
      </c>
      <c r="Q197" s="1" t="str" cm="1">
        <f t="array" ref="Q197">_xlfn.IFS(N197&gt;=10,"HIGH",N197&gt;=5,"MEDIUM",N197&lt;5,"LOW")</f>
        <v>HIGH</v>
      </c>
      <c r="R197" s="1" t="str">
        <f t="shared" si="11"/>
        <v>MEDIUM</v>
      </c>
    </row>
    <row r="198" spans="1:18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6">
        <f t="shared" si="9"/>
        <v>4803.26</v>
      </c>
      <c r="P198" s="1" t="str">
        <f t="shared" si="10"/>
        <v>Low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6">
        <f t="shared" si="9"/>
        <v>25927.84</v>
      </c>
      <c r="P199" s="1" t="str">
        <f t="shared" si="10"/>
        <v>High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6">
        <f t="shared" si="9"/>
        <v>27354.11</v>
      </c>
      <c r="P200" s="1" t="str">
        <f t="shared" si="10"/>
        <v>High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6">
        <f t="shared" si="9"/>
        <v>8865.2999999999993</v>
      </c>
      <c r="P201" s="1" t="str">
        <f t="shared" si="10"/>
        <v>Low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6">
        <f t="shared" si="9"/>
        <v>3100.65</v>
      </c>
      <c r="P202" s="1" t="str">
        <f t="shared" si="10"/>
        <v>Low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6">
        <f t="shared" si="9"/>
        <v>28153.599999999999</v>
      </c>
      <c r="P203" s="1" t="str">
        <f t="shared" si="10"/>
        <v>High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6">
        <f t="shared" si="9"/>
        <v>2250.4899999999998</v>
      </c>
      <c r="P204" s="1" t="str">
        <f t="shared" si="10"/>
        <v>Low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6">
        <f t="shared" si="9"/>
        <v>556.53</v>
      </c>
      <c r="P205" s="1" t="str">
        <f t="shared" si="10"/>
        <v>Low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6">
        <f t="shared" si="9"/>
        <v>2270.66</v>
      </c>
      <c r="P206" s="1" t="str">
        <f t="shared" si="10"/>
        <v>Low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6">
        <f t="shared" si="9"/>
        <v>24093.81</v>
      </c>
      <c r="P207" s="1" t="str">
        <f t="shared" si="10"/>
        <v>High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6">
        <f t="shared" si="9"/>
        <v>2276.16</v>
      </c>
      <c r="P208" s="1" t="str">
        <f t="shared" si="10"/>
        <v>Low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6">
        <f t="shared" si="9"/>
        <v>7921.12</v>
      </c>
      <c r="P209" s="1" t="str">
        <f t="shared" si="10"/>
        <v>Low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6">
        <f t="shared" si="9"/>
        <v>2390.2199999999998</v>
      </c>
      <c r="P210" s="1" t="str">
        <f t="shared" si="10"/>
        <v>Low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6">
        <f t="shared" si="9"/>
        <v>11168.58</v>
      </c>
      <c r="P211" s="1" t="str">
        <f t="shared" si="10"/>
        <v>Low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6">
        <f t="shared" si="9"/>
        <v>1203.06</v>
      </c>
      <c r="P212" s="1" t="str">
        <f t="shared" si="10"/>
        <v>Low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6">
        <f t="shared" si="9"/>
        <v>2402.67</v>
      </c>
      <c r="P213" s="1" t="str">
        <f t="shared" si="10"/>
        <v>Low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6">
        <f t="shared" si="9"/>
        <v>12035.6</v>
      </c>
      <c r="P214" s="1" t="str">
        <f t="shared" si="10"/>
        <v>Low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6">
        <f t="shared" si="9"/>
        <v>3082.45</v>
      </c>
      <c r="P215" s="1" t="str">
        <f t="shared" si="10"/>
        <v>Low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6">
        <f t="shared" si="9"/>
        <v>14715.89</v>
      </c>
      <c r="P216" s="1" t="str">
        <f t="shared" si="10"/>
        <v>Low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6">
        <f t="shared" si="9"/>
        <v>18241.440000000002</v>
      </c>
      <c r="P217" s="1" t="str">
        <f t="shared" si="10"/>
        <v>High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6">
        <f t="shared" si="9"/>
        <v>3942.92</v>
      </c>
      <c r="P218" s="1" t="str">
        <f t="shared" si="10"/>
        <v>Low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6">
        <f t="shared" si="9"/>
        <v>14578.32</v>
      </c>
      <c r="P219" s="1" t="str">
        <f t="shared" si="10"/>
        <v>Low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6">
        <f t="shared" si="9"/>
        <v>7475.2</v>
      </c>
      <c r="P220" s="1" t="str">
        <f t="shared" si="10"/>
        <v>Low</v>
      </c>
      <c r="Q220" s="1" t="str" cm="1">
        <f t="array" ref="Q220">_xlfn.IFS(N220&gt;=10,"HIGH",N220&gt;=5,"MEDIUM",N220&lt;5,"LOW")</f>
        <v>HIGH</v>
      </c>
      <c r="R220" s="1" t="str">
        <f t="shared" si="11"/>
        <v>MEDIUM</v>
      </c>
    </row>
    <row r="221" spans="1:18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6">
        <f t="shared" si="9"/>
        <v>12661.35</v>
      </c>
      <c r="P221" s="1" t="str">
        <f t="shared" si="10"/>
        <v>Low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6">
        <f t="shared" si="9"/>
        <v>5423.32</v>
      </c>
      <c r="P222" s="1" t="str">
        <f t="shared" si="10"/>
        <v>Low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6">
        <f t="shared" si="9"/>
        <v>721.8</v>
      </c>
      <c r="P223" s="1" t="str">
        <f t="shared" si="10"/>
        <v>Low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6">
        <f t="shared" si="9"/>
        <v>1941.96</v>
      </c>
      <c r="P224" s="1" t="str">
        <f t="shared" si="10"/>
        <v>Low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6">
        <f t="shared" si="9"/>
        <v>1066.5</v>
      </c>
      <c r="P225" s="1" t="str">
        <f t="shared" si="10"/>
        <v>Low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6">
        <f t="shared" si="9"/>
        <v>17306.03</v>
      </c>
      <c r="P226" s="1" t="str">
        <f t="shared" si="10"/>
        <v>High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6">
        <f t="shared" si="9"/>
        <v>15161.02</v>
      </c>
      <c r="P227" s="1" t="str">
        <f t="shared" si="10"/>
        <v>High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6">
        <f t="shared" si="9"/>
        <v>4505.2</v>
      </c>
      <c r="P228" s="1" t="str">
        <f t="shared" si="10"/>
        <v>Low</v>
      </c>
      <c r="Q228" s="1" t="str" cm="1">
        <f t="array" ref="Q228">_xlfn.IFS(N228&gt;=10,"HIGH",N228&gt;=5,"MEDIUM",N228&lt;5,"LOW")</f>
        <v>HIGH</v>
      </c>
      <c r="R228" s="1" t="str">
        <f t="shared" si="11"/>
        <v>MEDIUM</v>
      </c>
    </row>
    <row r="229" spans="1:18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6">
        <f t="shared" si="9"/>
        <v>16360.72</v>
      </c>
      <c r="P229" s="1" t="str">
        <f t="shared" si="10"/>
        <v>High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6">
        <f t="shared" si="9"/>
        <v>900.78</v>
      </c>
      <c r="P230" s="1" t="str">
        <f t="shared" si="10"/>
        <v>Low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6">
        <f t="shared" si="9"/>
        <v>2660.56</v>
      </c>
      <c r="P231" s="1" t="str">
        <f t="shared" si="10"/>
        <v>Low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6">
        <f t="shared" si="9"/>
        <v>15782.7</v>
      </c>
      <c r="P232" s="1" t="str">
        <f t="shared" si="10"/>
        <v>High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6">
        <f t="shared" si="9"/>
        <v>19182.78</v>
      </c>
      <c r="P233" s="1" t="str">
        <f t="shared" si="10"/>
        <v>High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6">
        <f t="shared" si="9"/>
        <v>7408.5300000000007</v>
      </c>
      <c r="P234" s="1" t="str">
        <f t="shared" si="10"/>
        <v>Low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6">
        <f t="shared" si="9"/>
        <v>2309.2799999999997</v>
      </c>
      <c r="P235" s="1" t="str">
        <f t="shared" si="10"/>
        <v>Low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6">
        <f t="shared" si="9"/>
        <v>5032.6000000000004</v>
      </c>
      <c r="P236" s="1" t="str">
        <f t="shared" si="10"/>
        <v>Low</v>
      </c>
      <c r="Q236" s="1" t="str" cm="1">
        <f t="array" ref="Q236">_xlfn.IFS(N236&gt;=10,"HIGH",N236&gt;=5,"MEDIUM",N236&lt;5,"LOW")</f>
        <v>LOW</v>
      </c>
      <c r="R236" s="1" t="str">
        <f t="shared" si="11"/>
        <v>MEDIUM</v>
      </c>
    </row>
    <row r="237" spans="1:18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6">
        <f t="shared" si="9"/>
        <v>3563.7000000000003</v>
      </c>
      <c r="P237" s="1" t="str">
        <f t="shared" si="10"/>
        <v>Low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6">
        <f t="shared" si="9"/>
        <v>6030.5399999999991</v>
      </c>
      <c r="P238" s="1" t="str">
        <f t="shared" si="10"/>
        <v>Low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6">
        <f t="shared" si="9"/>
        <v>30272.959999999999</v>
      </c>
      <c r="P239" s="1" t="str">
        <f t="shared" si="10"/>
        <v>High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6">
        <f t="shared" si="9"/>
        <v>15492.2</v>
      </c>
      <c r="P240" s="1" t="str">
        <f t="shared" si="10"/>
        <v>High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6">
        <f t="shared" si="9"/>
        <v>1324.74</v>
      </c>
      <c r="P241" s="1" t="str">
        <f t="shared" si="10"/>
        <v>Low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6">
        <f t="shared" si="9"/>
        <v>11619.960000000001</v>
      </c>
      <c r="P242" s="1" t="str">
        <f t="shared" si="10"/>
        <v>Low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6">
        <f t="shared" si="9"/>
        <v>9776.9700000000012</v>
      </c>
      <c r="P243" s="1" t="str">
        <f t="shared" si="10"/>
        <v>Low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6">
        <f t="shared" si="9"/>
        <v>21563.119999999999</v>
      </c>
      <c r="P244" s="1" t="str">
        <f t="shared" si="10"/>
        <v>High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6">
        <f t="shared" si="9"/>
        <v>23949.99</v>
      </c>
      <c r="P245" s="1" t="str">
        <f t="shared" si="10"/>
        <v>High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6">
        <f t="shared" si="9"/>
        <v>2902.4700000000003</v>
      </c>
      <c r="P246" s="1" t="str">
        <f t="shared" si="10"/>
        <v>Low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6">
        <f t="shared" si="9"/>
        <v>619.73</v>
      </c>
      <c r="P247" s="1" t="str">
        <f t="shared" si="10"/>
        <v>Low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6">
        <f t="shared" si="9"/>
        <v>14251.65</v>
      </c>
      <c r="P248" s="1" t="str">
        <f t="shared" si="10"/>
        <v>Low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6">
        <f t="shared" si="9"/>
        <v>4456.13</v>
      </c>
      <c r="P249" s="1" t="str">
        <f t="shared" si="10"/>
        <v>Low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6">
        <f t="shared" si="9"/>
        <v>1543.1999999999998</v>
      </c>
      <c r="P250" s="1" t="str">
        <f t="shared" si="10"/>
        <v>Low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6">
        <f t="shared" si="9"/>
        <v>10190.08</v>
      </c>
      <c r="P251" s="1" t="str">
        <f t="shared" si="10"/>
        <v>Low</v>
      </c>
      <c r="Q251" s="1" t="str" cm="1">
        <f t="array" ref="Q251">_xlfn.IFS(N251&gt;=10,"HIGH",N251&gt;=5,"MEDIUM",N251&lt;5,"LOW")</f>
        <v>HIGH</v>
      </c>
      <c r="R251" s="1" t="str">
        <f t="shared" si="11"/>
        <v>MEDIUM</v>
      </c>
    </row>
    <row r="252" spans="1:18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6">
        <f t="shared" si="9"/>
        <v>6512.04</v>
      </c>
      <c r="P252" s="1" t="str">
        <f t="shared" si="10"/>
        <v>Low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6">
        <f t="shared" si="9"/>
        <v>3391.76</v>
      </c>
      <c r="P253" s="1" t="str">
        <f t="shared" si="10"/>
        <v>Low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6">
        <f t="shared" si="9"/>
        <v>8033.8</v>
      </c>
      <c r="P254" s="1" t="str">
        <f t="shared" si="10"/>
        <v>Low</v>
      </c>
      <c r="Q254" s="1" t="str" cm="1">
        <f t="array" ref="Q254">_xlfn.IFS(N254&gt;=10,"HIGH",N254&gt;=5,"MEDIUM",N254&lt;5,"LOW")</f>
        <v>MEDIUM</v>
      </c>
      <c r="R254" s="1" t="str">
        <f t="shared" si="11"/>
        <v>MEDIUM</v>
      </c>
    </row>
    <row r="255" spans="1:18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6">
        <f t="shared" si="9"/>
        <v>12572.8</v>
      </c>
      <c r="P255" s="1" t="str">
        <f t="shared" si="10"/>
        <v>Low</v>
      </c>
      <c r="Q255" s="1" t="str" cm="1">
        <f t="array" ref="Q255">_xlfn.IFS(N255&gt;=10,"HIGH",N255&gt;=5,"MEDIUM",N255&lt;5,"LOW")</f>
        <v>LOW</v>
      </c>
      <c r="R255" s="1" t="str">
        <f t="shared" si="11"/>
        <v>MEDIUM</v>
      </c>
    </row>
    <row r="256" spans="1:18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6">
        <f t="shared" si="9"/>
        <v>2740.46</v>
      </c>
      <c r="P256" s="1" t="str">
        <f t="shared" si="10"/>
        <v>Low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6">
        <f t="shared" si="9"/>
        <v>8186.04</v>
      </c>
      <c r="P257" s="1" t="str">
        <f t="shared" si="10"/>
        <v>Low</v>
      </c>
      <c r="Q257" s="1" t="str" cm="1">
        <f t="array" ref="Q257">_xlfn.IFS(N257&gt;=10,"HIGH",N257&gt;=5,"MEDIUM",N257&lt;5,"LOW")</f>
        <v>MEDIUM</v>
      </c>
      <c r="R257" s="1" t="str">
        <f t="shared" si="11"/>
        <v>MEDIUM</v>
      </c>
    </row>
    <row r="258" spans="1:18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6">
        <f t="shared" si="9"/>
        <v>2588.64</v>
      </c>
      <c r="P258" s="1" t="str">
        <f t="shared" si="10"/>
        <v>Low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6">
        <f t="shared" ref="O259:O322" si="12">M259*L259</f>
        <v>3251.27</v>
      </c>
      <c r="P259" s="1" t="str">
        <f t="shared" ref="P259:P322" si="13">IF(O259&gt;=15000,"High","Low")</f>
        <v>Low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IF(L259&gt;8,"HIGH",IF(L259&gt;=4,"MEDIUM","LOW"))</f>
        <v>LOW</v>
      </c>
    </row>
    <row r="260" spans="1:18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6">
        <f t="shared" si="12"/>
        <v>1681.85</v>
      </c>
      <c r="P260" s="1" t="str">
        <f t="shared" si="13"/>
        <v>Low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6">
        <f t="shared" si="12"/>
        <v>26024.16</v>
      </c>
      <c r="P261" s="1" t="str">
        <f t="shared" si="13"/>
        <v>High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6">
        <f t="shared" si="12"/>
        <v>19434.080000000002</v>
      </c>
      <c r="P262" s="1" t="str">
        <f t="shared" si="13"/>
        <v>High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6">
        <f t="shared" si="12"/>
        <v>1577.44</v>
      </c>
      <c r="P263" s="1" t="str">
        <f t="shared" si="13"/>
        <v>Low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6">
        <f t="shared" si="12"/>
        <v>1715.21</v>
      </c>
      <c r="P264" s="1" t="str">
        <f t="shared" si="13"/>
        <v>Low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6">
        <f t="shared" si="12"/>
        <v>18038.240000000002</v>
      </c>
      <c r="P265" s="1" t="str">
        <f t="shared" si="13"/>
        <v>High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6">
        <f t="shared" si="12"/>
        <v>23683.17</v>
      </c>
      <c r="P266" s="1" t="str">
        <f t="shared" si="13"/>
        <v>High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6">
        <f t="shared" si="12"/>
        <v>3204.1000000000004</v>
      </c>
      <c r="P267" s="1" t="str">
        <f t="shared" si="13"/>
        <v>Low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6">
        <f t="shared" si="12"/>
        <v>31253.22</v>
      </c>
      <c r="P268" s="1" t="str">
        <f t="shared" si="13"/>
        <v>High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6">
        <f t="shared" si="12"/>
        <v>5111.05</v>
      </c>
      <c r="P269" s="1" t="str">
        <f t="shared" si="13"/>
        <v>Low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6">
        <f t="shared" si="12"/>
        <v>6857.28</v>
      </c>
      <c r="P270" s="1" t="str">
        <f t="shared" si="13"/>
        <v>Low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6">
        <f t="shared" si="12"/>
        <v>23802.6</v>
      </c>
      <c r="P271" s="1" t="str">
        <f t="shared" si="13"/>
        <v>High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6">
        <f t="shared" si="12"/>
        <v>5896.66</v>
      </c>
      <c r="P272" s="1" t="str">
        <f t="shared" si="13"/>
        <v>Low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6">
        <f t="shared" si="12"/>
        <v>3171.36</v>
      </c>
      <c r="P273" s="1" t="str">
        <f t="shared" si="13"/>
        <v>Low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6">
        <f t="shared" si="12"/>
        <v>27849.5</v>
      </c>
      <c r="P274" s="1" t="str">
        <f t="shared" si="13"/>
        <v>High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6">
        <f t="shared" si="12"/>
        <v>2670.72</v>
      </c>
      <c r="P275" s="1" t="str">
        <f t="shared" si="13"/>
        <v>Low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6">
        <f t="shared" si="12"/>
        <v>1126.5</v>
      </c>
      <c r="P276" s="1" t="str">
        <f t="shared" si="13"/>
        <v>Low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6">
        <f t="shared" si="12"/>
        <v>1393.26</v>
      </c>
      <c r="P277" s="1" t="str">
        <f t="shared" si="13"/>
        <v>Low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6">
        <f t="shared" si="12"/>
        <v>14834.04</v>
      </c>
      <c r="P278" s="1" t="str">
        <f t="shared" si="13"/>
        <v>Low</v>
      </c>
      <c r="Q278" s="1" t="str" cm="1">
        <f t="array" ref="Q278">_xlfn.IFS(N278&gt;=10,"HIGH",N278&gt;=5,"MEDIUM",N278&lt;5,"LOW")</f>
        <v>MEDIUM</v>
      </c>
      <c r="R278" s="1" t="str">
        <f t="shared" si="14"/>
        <v>MEDIUM</v>
      </c>
    </row>
    <row r="279" spans="1:18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6">
        <f t="shared" si="12"/>
        <v>2567.7199999999998</v>
      </c>
      <c r="P279" s="1" t="str">
        <f t="shared" si="13"/>
        <v>Low</v>
      </c>
      <c r="Q279" s="1" t="str" cm="1">
        <f t="array" ref="Q279">_xlfn.IFS(N279&gt;=10,"HIGH",N279&gt;=5,"MEDIUM",N279&lt;5,"LOW")</f>
        <v>LOW</v>
      </c>
      <c r="R279" s="1" t="str">
        <f t="shared" si="14"/>
        <v>MEDIUM</v>
      </c>
    </row>
    <row r="280" spans="1:18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6">
        <f t="shared" si="12"/>
        <v>9265.5499999999993</v>
      </c>
      <c r="P280" s="1" t="str">
        <f t="shared" si="13"/>
        <v>Low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6">
        <f t="shared" si="12"/>
        <v>2194.5699999999997</v>
      </c>
      <c r="P281" s="1" t="str">
        <f t="shared" si="13"/>
        <v>Low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6">
        <f t="shared" si="12"/>
        <v>11143.24</v>
      </c>
      <c r="P282" s="1" t="str">
        <f t="shared" si="13"/>
        <v>Low</v>
      </c>
      <c r="Q282" s="1" t="str" cm="1">
        <f t="array" ref="Q282">_xlfn.IFS(N282&gt;=10,"HIGH",N282&gt;=5,"MEDIUM",N282&lt;5,"LOW")</f>
        <v>HIGH</v>
      </c>
      <c r="R282" s="1" t="str">
        <f t="shared" si="14"/>
        <v>MEDIUM</v>
      </c>
    </row>
    <row r="283" spans="1:18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6">
        <f t="shared" si="12"/>
        <v>3625.42</v>
      </c>
      <c r="P283" s="1" t="str">
        <f t="shared" si="13"/>
        <v>Low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6">
        <f t="shared" si="12"/>
        <v>2561.48</v>
      </c>
      <c r="P284" s="1" t="str">
        <f t="shared" si="13"/>
        <v>Low</v>
      </c>
      <c r="Q284" s="1" t="str" cm="1">
        <f t="array" ref="Q284">_xlfn.IFS(N284&gt;=10,"HIGH",N284&gt;=5,"MEDIUM",N284&lt;5,"LOW")</f>
        <v>HIGH</v>
      </c>
      <c r="R284" s="1" t="str">
        <f t="shared" si="14"/>
        <v>MEDIUM</v>
      </c>
    </row>
    <row r="285" spans="1:18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6">
        <f t="shared" si="12"/>
        <v>3708.38</v>
      </c>
      <c r="P285" s="1" t="str">
        <f t="shared" si="13"/>
        <v>Low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6">
        <f t="shared" si="12"/>
        <v>5770.74</v>
      </c>
      <c r="P286" s="1" t="str">
        <f t="shared" si="13"/>
        <v>Low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6">
        <f t="shared" si="12"/>
        <v>4142.08</v>
      </c>
      <c r="P287" s="1" t="str">
        <f t="shared" si="13"/>
        <v>Low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6">
        <f t="shared" si="12"/>
        <v>23695.920000000002</v>
      </c>
      <c r="P288" s="1" t="str">
        <f t="shared" si="13"/>
        <v>High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6">
        <f t="shared" si="12"/>
        <v>11337.93</v>
      </c>
      <c r="P289" s="1" t="str">
        <f t="shared" si="13"/>
        <v>Low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6">
        <f t="shared" si="12"/>
        <v>10402.48</v>
      </c>
      <c r="P290" s="1" t="str">
        <f t="shared" si="13"/>
        <v>Low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6">
        <f t="shared" si="12"/>
        <v>28648.959999999999</v>
      </c>
      <c r="P291" s="1" t="str">
        <f t="shared" si="13"/>
        <v>High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6">
        <f t="shared" si="12"/>
        <v>202.49</v>
      </c>
      <c r="P292" s="1" t="str">
        <f t="shared" si="13"/>
        <v>Low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6">
        <f t="shared" si="12"/>
        <v>11140</v>
      </c>
      <c r="P293" s="1" t="str">
        <f t="shared" si="13"/>
        <v>Low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6">
        <f t="shared" si="12"/>
        <v>6852.8099999999995</v>
      </c>
      <c r="P294" s="1" t="str">
        <f t="shared" si="13"/>
        <v>Low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6">
        <f t="shared" si="12"/>
        <v>17967.3</v>
      </c>
      <c r="P295" s="1" t="str">
        <f t="shared" si="13"/>
        <v>High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6">
        <f t="shared" si="12"/>
        <v>16604.400000000001</v>
      </c>
      <c r="P296" s="1" t="str">
        <f t="shared" si="13"/>
        <v>High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6">
        <f t="shared" si="12"/>
        <v>28882.639999999999</v>
      </c>
      <c r="P297" s="1" t="str">
        <f t="shared" si="13"/>
        <v>High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6">
        <f t="shared" si="12"/>
        <v>26217.52</v>
      </c>
      <c r="P298" s="1" t="str">
        <f t="shared" si="13"/>
        <v>High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6">
        <f t="shared" si="12"/>
        <v>9771.36</v>
      </c>
      <c r="P299" s="1" t="str">
        <f t="shared" si="13"/>
        <v>Low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6">
        <f t="shared" si="12"/>
        <v>16290.78</v>
      </c>
      <c r="P300" s="1" t="str">
        <f t="shared" si="13"/>
        <v>High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6">
        <f t="shared" si="12"/>
        <v>7914.04</v>
      </c>
      <c r="P301" s="1" t="str">
        <f t="shared" si="13"/>
        <v>Low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6">
        <f t="shared" si="12"/>
        <v>6114.2999999999993</v>
      </c>
      <c r="P302" s="1" t="str">
        <f t="shared" si="13"/>
        <v>Low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6">
        <f t="shared" si="12"/>
        <v>8255.5499999999993</v>
      </c>
      <c r="P303" s="1" t="str">
        <f t="shared" si="13"/>
        <v>Low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6">
        <f t="shared" si="12"/>
        <v>4088.16</v>
      </c>
      <c r="P304" s="1" t="str">
        <f t="shared" si="13"/>
        <v>Low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6">
        <f t="shared" si="12"/>
        <v>3910.66</v>
      </c>
      <c r="P305" s="1" t="str">
        <f t="shared" si="13"/>
        <v>Low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6">
        <f t="shared" si="12"/>
        <v>1462.35</v>
      </c>
      <c r="P306" s="1" t="str">
        <f t="shared" si="13"/>
        <v>Low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6">
        <f t="shared" si="12"/>
        <v>3581.58</v>
      </c>
      <c r="P307" s="1" t="str">
        <f t="shared" si="13"/>
        <v>Low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6">
        <f t="shared" si="12"/>
        <v>9678.4</v>
      </c>
      <c r="P308" s="1" t="str">
        <f t="shared" si="13"/>
        <v>Low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6">
        <f t="shared" si="12"/>
        <v>4146.33</v>
      </c>
      <c r="P309" s="1" t="str">
        <f t="shared" si="13"/>
        <v>Low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6">
        <f t="shared" si="12"/>
        <v>3968.76</v>
      </c>
      <c r="P310" s="1" t="str">
        <f t="shared" si="13"/>
        <v>Low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6">
        <f t="shared" si="12"/>
        <v>11003.76</v>
      </c>
      <c r="P311" s="1" t="str">
        <f t="shared" si="13"/>
        <v>Low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6">
        <f t="shared" si="12"/>
        <v>6098.37</v>
      </c>
      <c r="P312" s="1" t="str">
        <f t="shared" si="13"/>
        <v>Low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6">
        <f t="shared" si="12"/>
        <v>2430.36</v>
      </c>
      <c r="P313" s="1" t="str">
        <f t="shared" si="13"/>
        <v>Low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6">
        <f t="shared" si="12"/>
        <v>4661.9400000000005</v>
      </c>
      <c r="P314" s="1" t="str">
        <f t="shared" si="13"/>
        <v>Low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6">
        <f t="shared" si="12"/>
        <v>23946</v>
      </c>
      <c r="P315" s="1" t="str">
        <f t="shared" si="13"/>
        <v>High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6">
        <f t="shared" si="12"/>
        <v>16298.880000000001</v>
      </c>
      <c r="P316" s="1" t="str">
        <f t="shared" si="13"/>
        <v>High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6">
        <f t="shared" si="12"/>
        <v>1220.6199999999999</v>
      </c>
      <c r="P317" s="1" t="str">
        <f t="shared" si="13"/>
        <v>Low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6">
        <f t="shared" si="12"/>
        <v>14128.02</v>
      </c>
      <c r="P318" s="1" t="str">
        <f t="shared" si="13"/>
        <v>Low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6">
        <f t="shared" si="12"/>
        <v>16228.85</v>
      </c>
      <c r="P319" s="1" t="str">
        <f t="shared" si="13"/>
        <v>High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6">
        <f t="shared" si="12"/>
        <v>5369.58</v>
      </c>
      <c r="P320" s="1" t="str">
        <f t="shared" si="13"/>
        <v>Low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6">
        <f t="shared" si="12"/>
        <v>2743.75</v>
      </c>
      <c r="P321" s="1" t="str">
        <f t="shared" si="13"/>
        <v>Low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6">
        <f t="shared" si="12"/>
        <v>5335.96</v>
      </c>
      <c r="P322" s="1" t="str">
        <f t="shared" si="13"/>
        <v>Low</v>
      </c>
      <c r="Q322" s="1" t="str" cm="1">
        <f t="array" ref="Q322">_xlfn.IFS(N322&gt;=10,"HIGH",N322&gt;=5,"MEDIUM",N322&lt;5,"LOW")</f>
        <v>MEDIUM</v>
      </c>
      <c r="R322" s="1" t="str">
        <f t="shared" si="14"/>
        <v>MEDIUM</v>
      </c>
    </row>
    <row r="323" spans="1:18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6">
        <f t="shared" ref="O323:O373" si="15">M323*L323</f>
        <v>2044.41</v>
      </c>
      <c r="P323" s="1" t="str">
        <f t="shared" ref="P323:P373" si="16">IF(O323&gt;=15000,"High","Low")</f>
        <v>Low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IF(L323&gt;8,"HIGH",IF(L323&gt;=4,"MEDIUM","LOW"))</f>
        <v>LOW</v>
      </c>
    </row>
    <row r="324" spans="1:18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6">
        <f t="shared" si="15"/>
        <v>28949.040000000001</v>
      </c>
      <c r="P324" s="1" t="str">
        <f t="shared" si="16"/>
        <v>High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6">
        <f t="shared" si="15"/>
        <v>7141.6100000000006</v>
      </c>
      <c r="P325" s="1" t="str">
        <f t="shared" si="16"/>
        <v>Low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6">
        <f t="shared" si="15"/>
        <v>6497.16</v>
      </c>
      <c r="P326" s="1" t="str">
        <f t="shared" si="16"/>
        <v>Low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6">
        <f t="shared" si="15"/>
        <v>10380.719999999999</v>
      </c>
      <c r="P327" s="1" t="str">
        <f t="shared" si="16"/>
        <v>Low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6">
        <f t="shared" si="15"/>
        <v>1219.7</v>
      </c>
      <c r="P328" s="1" t="str">
        <f t="shared" si="16"/>
        <v>Low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6">
        <f t="shared" si="15"/>
        <v>3354.81</v>
      </c>
      <c r="P329" s="1" t="str">
        <f t="shared" si="16"/>
        <v>Low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6">
        <f t="shared" si="15"/>
        <v>31244.560000000001</v>
      </c>
      <c r="P330" s="1" t="str">
        <f t="shared" si="16"/>
        <v>High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6">
        <f t="shared" si="15"/>
        <v>7729.86</v>
      </c>
      <c r="P331" s="1" t="str">
        <f t="shared" si="16"/>
        <v>Low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6">
        <f t="shared" si="15"/>
        <v>33662.700000000004</v>
      </c>
      <c r="P332" s="1" t="str">
        <f t="shared" si="16"/>
        <v>High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6">
        <f t="shared" si="15"/>
        <v>22091.31</v>
      </c>
      <c r="P333" s="1" t="str">
        <f t="shared" si="16"/>
        <v>High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6">
        <f t="shared" si="15"/>
        <v>13484.22</v>
      </c>
      <c r="P334" s="1" t="str">
        <f t="shared" si="16"/>
        <v>Low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6">
        <f t="shared" si="15"/>
        <v>3498.88</v>
      </c>
      <c r="P335" s="1" t="str">
        <f t="shared" si="16"/>
        <v>Low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6">
        <f t="shared" si="15"/>
        <v>10934.34</v>
      </c>
      <c r="P336" s="1" t="str">
        <f t="shared" si="16"/>
        <v>Low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6">
        <f t="shared" si="15"/>
        <v>11960.34</v>
      </c>
      <c r="P337" s="1" t="str">
        <f t="shared" si="16"/>
        <v>Low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6">
        <f t="shared" si="15"/>
        <v>15581.099999999999</v>
      </c>
      <c r="P338" s="1" t="str">
        <f t="shared" si="16"/>
        <v>High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6">
        <f t="shared" si="15"/>
        <v>4345.8599999999997</v>
      </c>
      <c r="P339" s="1" t="str">
        <f t="shared" si="16"/>
        <v>Low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6">
        <f t="shared" si="15"/>
        <v>3775.07</v>
      </c>
      <c r="P340" s="1" t="str">
        <f t="shared" si="16"/>
        <v>Low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6">
        <f t="shared" si="15"/>
        <v>6568.2000000000007</v>
      </c>
      <c r="P341" s="1" t="str">
        <f t="shared" si="16"/>
        <v>Low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6">
        <f t="shared" si="15"/>
        <v>26727.3</v>
      </c>
      <c r="P342" s="1" t="str">
        <f t="shared" si="16"/>
        <v>High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6">
        <f t="shared" si="15"/>
        <v>7808.88</v>
      </c>
      <c r="P343" s="1" t="str">
        <f t="shared" si="16"/>
        <v>Low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6">
        <f t="shared" si="15"/>
        <v>15484.84</v>
      </c>
      <c r="P344" s="1" t="str">
        <f t="shared" si="16"/>
        <v>High</v>
      </c>
      <c r="Q344" s="1" t="str" cm="1">
        <f t="array" ref="Q344">_xlfn.IFS(N344&gt;=10,"HIGH",N344&gt;=5,"MEDIUM",N344&lt;5,"LOW")</f>
        <v>HIGH</v>
      </c>
      <c r="R344" s="1" t="str">
        <f t="shared" si="17"/>
        <v>MEDIUM</v>
      </c>
    </row>
    <row r="345" spans="1:18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6">
        <f t="shared" si="15"/>
        <v>17977.82</v>
      </c>
      <c r="P345" s="1" t="str">
        <f t="shared" si="16"/>
        <v>High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6">
        <f t="shared" si="15"/>
        <v>1574.59</v>
      </c>
      <c r="P346" s="1" t="str">
        <f t="shared" si="16"/>
        <v>Low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6">
        <f t="shared" si="15"/>
        <v>28724.04</v>
      </c>
      <c r="P347" s="1" t="str">
        <f t="shared" si="16"/>
        <v>High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6">
        <f t="shared" si="15"/>
        <v>2748.46</v>
      </c>
      <c r="P348" s="1" t="str">
        <f t="shared" si="16"/>
        <v>Low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6">
        <f t="shared" si="15"/>
        <v>7403.3</v>
      </c>
      <c r="P349" s="1" t="str">
        <f t="shared" si="16"/>
        <v>Low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6">
        <f t="shared" si="15"/>
        <v>445.38</v>
      </c>
      <c r="P350" s="1" t="str">
        <f t="shared" si="16"/>
        <v>Low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6">
        <f t="shared" si="15"/>
        <v>10361.6</v>
      </c>
      <c r="P351" s="1" t="str">
        <f t="shared" si="16"/>
        <v>Low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6">
        <f t="shared" si="15"/>
        <v>559.4</v>
      </c>
      <c r="P352" s="1" t="str">
        <f t="shared" si="16"/>
        <v>Low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6">
        <f t="shared" si="15"/>
        <v>2357.7600000000002</v>
      </c>
      <c r="P353" s="1" t="str">
        <f t="shared" si="16"/>
        <v>Low</v>
      </c>
      <c r="Q353" s="1" t="str" cm="1">
        <f t="array" ref="Q353">_xlfn.IFS(N353&gt;=10,"HIGH",N353&gt;=5,"MEDIUM",N353&lt;5,"LOW")</f>
        <v>HIGH</v>
      </c>
      <c r="R353" s="1" t="str">
        <f t="shared" si="17"/>
        <v>MEDIUM</v>
      </c>
    </row>
    <row r="354" spans="1:18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6">
        <f t="shared" si="15"/>
        <v>22638.239999999998</v>
      </c>
      <c r="P354" s="1" t="str">
        <f t="shared" si="16"/>
        <v>High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6">
        <f t="shared" si="15"/>
        <v>17014.77</v>
      </c>
      <c r="P355" s="1" t="str">
        <f t="shared" si="16"/>
        <v>High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6">
        <f t="shared" si="15"/>
        <v>1205.76</v>
      </c>
      <c r="P356" s="1" t="str">
        <f t="shared" si="16"/>
        <v>Low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6">
        <f t="shared" si="15"/>
        <v>12616.25</v>
      </c>
      <c r="P357" s="1" t="str">
        <f t="shared" si="16"/>
        <v>Low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6">
        <f t="shared" si="15"/>
        <v>5070</v>
      </c>
      <c r="P358" s="1" t="str">
        <f t="shared" si="16"/>
        <v>Low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6">
        <f t="shared" si="15"/>
        <v>9284.08</v>
      </c>
      <c r="P359" s="1" t="str">
        <f t="shared" si="16"/>
        <v>Low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6">
        <f t="shared" si="15"/>
        <v>15205.679999999998</v>
      </c>
      <c r="P360" s="1" t="str">
        <f t="shared" si="16"/>
        <v>High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6">
        <f t="shared" si="15"/>
        <v>2589.6799999999998</v>
      </c>
      <c r="P361" s="1" t="str">
        <f t="shared" si="16"/>
        <v>Low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6">
        <f t="shared" si="15"/>
        <v>6981.93</v>
      </c>
      <c r="P362" s="1" t="str">
        <f t="shared" si="16"/>
        <v>Low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6">
        <f t="shared" si="15"/>
        <v>11004.56</v>
      </c>
      <c r="P363" s="1" t="str">
        <f t="shared" si="16"/>
        <v>Low</v>
      </c>
      <c r="Q363" s="1" t="str" cm="1">
        <f t="array" ref="Q363">_xlfn.IFS(N363&gt;=10,"HIGH",N363&gt;=5,"MEDIUM",N363&lt;5,"LOW")</f>
        <v>HIGH</v>
      </c>
      <c r="R363" s="1" t="str">
        <f t="shared" si="17"/>
        <v>MEDIUM</v>
      </c>
    </row>
    <row r="364" spans="1:18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6">
        <f t="shared" si="15"/>
        <v>20295.04</v>
      </c>
      <c r="P364" s="1" t="str">
        <f t="shared" si="16"/>
        <v>High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6">
        <f t="shared" si="15"/>
        <v>19866.419999999998</v>
      </c>
      <c r="P365" s="1" t="str">
        <f t="shared" si="16"/>
        <v>High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6">
        <f t="shared" si="15"/>
        <v>4887.1499999999996</v>
      </c>
      <c r="P366" s="1" t="str">
        <f t="shared" si="16"/>
        <v>Low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6">
        <f t="shared" si="15"/>
        <v>10850.21</v>
      </c>
      <c r="P367" s="1" t="str">
        <f t="shared" si="16"/>
        <v>Low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6">
        <f t="shared" si="15"/>
        <v>2647.9500000000003</v>
      </c>
      <c r="P368" s="1" t="str">
        <f t="shared" si="16"/>
        <v>Low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6">
        <f t="shared" si="15"/>
        <v>4787.5200000000004</v>
      </c>
      <c r="P369" s="1" t="str">
        <f t="shared" si="16"/>
        <v>Low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6">
        <f t="shared" si="15"/>
        <v>6773.4600000000009</v>
      </c>
      <c r="P370" s="1" t="str">
        <f t="shared" si="16"/>
        <v>Low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6">
        <f t="shared" si="15"/>
        <v>6437.75</v>
      </c>
      <c r="P371" s="1" t="str">
        <f t="shared" si="16"/>
        <v>Low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6">
        <f t="shared" si="15"/>
        <v>19713.509999999998</v>
      </c>
      <c r="P372" s="1" t="str">
        <f t="shared" si="16"/>
        <v>High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6">
        <f t="shared" si="15"/>
        <v>2432.17</v>
      </c>
      <c r="P373" s="1" t="str">
        <f t="shared" si="16"/>
        <v>Low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2CB1-DAD6-4CC6-9BF9-D1A1FFEE8E33}">
  <dimension ref="A1:H16"/>
  <sheetViews>
    <sheetView tabSelected="1" workbookViewId="0">
      <selection activeCell="K15" sqref="K15"/>
    </sheetView>
  </sheetViews>
  <sheetFormatPr defaultRowHeight="15" x14ac:dyDescent="0.25"/>
  <sheetData>
    <row r="1" spans="1:8" s="4" customFormat="1" x14ac:dyDescent="0.25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</row>
    <row r="2" spans="1:8" x14ac:dyDescent="0.25">
      <c r="A2" s="1" t="s">
        <v>90</v>
      </c>
      <c r="B2" s="1">
        <v>70</v>
      </c>
      <c r="C2" s="1">
        <v>56</v>
      </c>
      <c r="D2" s="1">
        <v>85</v>
      </c>
      <c r="E2" s="1">
        <f>SUM(B2:D2)</f>
        <v>211</v>
      </c>
      <c r="F2" s="1">
        <f>AVERAGE(B2:D2)</f>
        <v>70.333333333333329</v>
      </c>
      <c r="G2" s="1" t="str">
        <f>IF(F2&gt;=90,"A",IF(F2&gt;=70,"B",IF(F2&gt;=50,"C",IF(F2&gt;=40,"PASS","FAIL"))))</f>
        <v>B</v>
      </c>
    </row>
    <row r="3" spans="1:8" x14ac:dyDescent="0.25">
      <c r="A3" s="1" t="s">
        <v>91</v>
      </c>
      <c r="B3" s="1">
        <v>80</v>
      </c>
      <c r="C3" s="1">
        <v>85</v>
      </c>
      <c r="D3" s="1">
        <v>65</v>
      </c>
      <c r="E3" s="1">
        <f t="shared" ref="E3:E9" si="0">SUM(B3:D3)</f>
        <v>230</v>
      </c>
      <c r="F3" s="1">
        <f t="shared" ref="F3:F9" si="1">AVERAGE(B3:D3)</f>
        <v>76.666666666666671</v>
      </c>
      <c r="G3" s="1" t="str">
        <f t="shared" ref="G3:G9" si="2">IF(F3&gt;=90,"A",IF(F3&gt;=70,"B",IF(F3&gt;=50,"C",IF(F3&gt;=40,"PASS","FAIL"))))</f>
        <v>B</v>
      </c>
    </row>
    <row r="4" spans="1:8" x14ac:dyDescent="0.25">
      <c r="A4" s="1" t="s">
        <v>92</v>
      </c>
      <c r="B4" s="1">
        <v>75</v>
      </c>
      <c r="C4" s="1">
        <v>93</v>
      </c>
      <c r="D4" s="1">
        <v>25</v>
      </c>
      <c r="E4" s="1">
        <f t="shared" si="0"/>
        <v>193</v>
      </c>
      <c r="F4" s="1">
        <f t="shared" si="1"/>
        <v>64.333333333333329</v>
      </c>
      <c r="G4" s="1" t="str">
        <f t="shared" si="2"/>
        <v>C</v>
      </c>
    </row>
    <row r="5" spans="1:8" x14ac:dyDescent="0.25">
      <c r="A5" s="1" t="s">
        <v>93</v>
      </c>
      <c r="B5" s="1">
        <v>65</v>
      </c>
      <c r="C5" s="1">
        <v>35</v>
      </c>
      <c r="D5" s="1">
        <v>60</v>
      </c>
      <c r="E5" s="1">
        <f t="shared" si="0"/>
        <v>160</v>
      </c>
      <c r="F5" s="1">
        <f t="shared" si="1"/>
        <v>53.333333333333336</v>
      </c>
      <c r="G5" s="1" t="str">
        <f t="shared" si="2"/>
        <v>C</v>
      </c>
    </row>
    <row r="6" spans="1:8" x14ac:dyDescent="0.25">
      <c r="A6" s="1" t="s">
        <v>94</v>
      </c>
      <c r="B6" s="1">
        <v>45</v>
      </c>
      <c r="C6" s="1">
        <v>19</v>
      </c>
      <c r="D6" s="1">
        <v>45</v>
      </c>
      <c r="E6" s="1">
        <f t="shared" si="0"/>
        <v>109</v>
      </c>
      <c r="F6" s="1">
        <f t="shared" si="1"/>
        <v>36.333333333333336</v>
      </c>
      <c r="G6" s="1" t="str">
        <f t="shared" si="2"/>
        <v>FAIL</v>
      </c>
    </row>
    <row r="7" spans="1:8" x14ac:dyDescent="0.25">
      <c r="A7" s="1" t="s">
        <v>95</v>
      </c>
      <c r="B7" s="1">
        <v>25</v>
      </c>
      <c r="C7" s="1">
        <v>84</v>
      </c>
      <c r="D7" s="1">
        <v>72</v>
      </c>
      <c r="E7" s="1">
        <f t="shared" si="0"/>
        <v>181</v>
      </c>
      <c r="F7" s="1">
        <f t="shared" si="1"/>
        <v>60.333333333333336</v>
      </c>
      <c r="G7" s="1" t="str">
        <f t="shared" si="2"/>
        <v>C</v>
      </c>
    </row>
    <row r="8" spans="1:8" x14ac:dyDescent="0.25">
      <c r="A8" s="1" t="s">
        <v>96</v>
      </c>
      <c r="B8" s="1">
        <v>60</v>
      </c>
      <c r="C8" s="1">
        <v>55</v>
      </c>
      <c r="D8" s="1">
        <v>91</v>
      </c>
      <c r="E8" s="1">
        <f t="shared" si="0"/>
        <v>206</v>
      </c>
      <c r="F8" s="1">
        <f t="shared" si="1"/>
        <v>68.666666666666671</v>
      </c>
      <c r="G8" s="1" t="str">
        <f t="shared" si="2"/>
        <v>C</v>
      </c>
    </row>
    <row r="9" spans="1:8" x14ac:dyDescent="0.25">
      <c r="A9" s="1" t="s">
        <v>97</v>
      </c>
      <c r="B9" s="1">
        <v>95</v>
      </c>
      <c r="C9" s="1">
        <v>80</v>
      </c>
      <c r="D9" s="1">
        <v>73</v>
      </c>
      <c r="E9" s="1">
        <f t="shared" si="0"/>
        <v>248</v>
      </c>
      <c r="F9" s="1">
        <f t="shared" si="1"/>
        <v>82.666666666666671</v>
      </c>
      <c r="G9" s="1" t="str">
        <f t="shared" si="2"/>
        <v>B</v>
      </c>
    </row>
    <row r="12" spans="1:8" x14ac:dyDescent="0.25">
      <c r="G12" s="3" t="s">
        <v>80</v>
      </c>
      <c r="H12" s="3" t="s">
        <v>81</v>
      </c>
    </row>
    <row r="13" spans="1:8" x14ac:dyDescent="0.25">
      <c r="G13" s="3" t="s">
        <v>82</v>
      </c>
      <c r="H13" s="3" t="s">
        <v>83</v>
      </c>
    </row>
    <row r="14" spans="1:8" x14ac:dyDescent="0.25">
      <c r="G14" s="3" t="s">
        <v>87</v>
      </c>
      <c r="H14" s="3" t="s">
        <v>84</v>
      </c>
    </row>
    <row r="15" spans="1:8" x14ac:dyDescent="0.25">
      <c r="G15" s="3" t="s">
        <v>88</v>
      </c>
      <c r="H15" s="3" t="s">
        <v>85</v>
      </c>
    </row>
    <row r="16" spans="1:8" x14ac:dyDescent="0.25">
      <c r="G16" s="3" t="s">
        <v>89</v>
      </c>
      <c r="H16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ANNASHYA KUNDU</cp:lastModifiedBy>
  <dcterms:created xsi:type="dcterms:W3CDTF">2025-12-08T11:58:47Z</dcterms:created>
  <dcterms:modified xsi:type="dcterms:W3CDTF">2026-02-23T06:18:26Z</dcterms:modified>
</cp:coreProperties>
</file>