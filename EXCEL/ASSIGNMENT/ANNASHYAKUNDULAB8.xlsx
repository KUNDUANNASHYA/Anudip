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dd836e8f53be5f/Documents/Desktop/ANUDIP/"/>
    </mc:Choice>
  </mc:AlternateContent>
  <xr:revisionPtr revIDLastSave="23" documentId="8_{911C80BD-3E60-45E2-8614-03F875080DD6}" xr6:coauthVersionLast="47" xr6:coauthVersionMax="47" xr10:uidLastSave="{674D93DC-A0E4-4ED2-85DE-7CBAF060F988}"/>
  <bookViews>
    <workbookView xWindow="-120" yWindow="-120" windowWidth="29040" windowHeight="15720" activeTab="1" xr2:uid="{2437032F-5493-41FB-BD2D-EF258635F011}"/>
  </bookViews>
  <sheets>
    <sheet name="INDEX-MATCH" sheetId="1" r:id="rId1"/>
    <sheet name="Sale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C32" i="2"/>
  <c r="D37" i="2"/>
  <c r="E37" i="2"/>
  <c r="F37" i="2"/>
  <c r="G37" i="2"/>
  <c r="C37" i="2"/>
  <c r="C43" i="2"/>
  <c r="I22" i="2"/>
  <c r="D22" i="2"/>
  <c r="E22" i="2"/>
  <c r="F22" i="2"/>
  <c r="G22" i="2"/>
  <c r="C22" i="2"/>
  <c r="C17" i="2"/>
  <c r="C12" i="2"/>
  <c r="P25" i="1"/>
  <c r="O25" i="1"/>
  <c r="P24" i="1"/>
  <c r="O24" i="1"/>
  <c r="O20" i="1"/>
  <c r="O19" i="1"/>
  <c r="O18" i="1"/>
  <c r="O17" i="1"/>
  <c r="P13" i="1"/>
  <c r="P13" i="1" a="1"/>
  <c r="P12" i="1" a="1"/>
  <c r="P12" i="1" s="1"/>
  <c r="O9" i="1"/>
  <c r="O9" i="1" a="1"/>
  <c r="O8" i="1" a="1"/>
  <c r="O8" i="1" s="1"/>
  <c r="W5" i="1"/>
  <c r="V5" i="1"/>
  <c r="U5" i="1"/>
  <c r="T5" i="1"/>
  <c r="S5" i="1"/>
  <c r="R5" i="1"/>
  <c r="O5" i="1" a="1"/>
  <c r="O5" i="1" s="1"/>
  <c r="W4" i="1"/>
  <c r="V4" i="1"/>
  <c r="U4" i="1"/>
  <c r="T4" i="1"/>
  <c r="S4" i="1"/>
  <c r="R4" i="1"/>
  <c r="O4" i="1" a="1"/>
  <c r="O4" i="1" s="1"/>
  <c r="I3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<sst xmlns="http://schemas.openxmlformats.org/spreadsheetml/2006/main" count="700" uniqueCount="177">
  <si>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</si>
  <si>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</si>
  <si>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</si>
  <si>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</si>
  <si>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</si>
  <si>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</si>
  <si>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</si>
  <si>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</si>
  <si>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</si>
  <si>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</si>
  <si>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</si>
  <si>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</si>
  <si>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</si>
  <si>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</si>
  <si>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</si>
  <si>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</si>
  <si>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</si>
  <si>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</si>
  <si>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</si>
  <si>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</si>
  <si>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</si>
  <si>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</si>
  <si>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</si>
  <si>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</si>
  <si>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Serial No.</t>
  </si>
  <si>
    <t>Value</t>
  </si>
  <si>
    <t>ORD-1002</t>
  </si>
  <si>
    <t>Furniture</t>
  </si>
  <si>
    <t>Bookcases</t>
  </si>
  <si>
    <t>ORD-1003</t>
  </si>
  <si>
    <t>Simran</t>
  </si>
  <si>
    <t>Paper</t>
  </si>
  <si>
    <t>Net Banking</t>
  </si>
  <si>
    <t>ORD-1005</t>
  </si>
  <si>
    <t>ORD-1004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</si>
  <si>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</si>
  <si>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</si>
  <si>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</si>
  <si>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</si>
  <si>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</si>
  <si>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</si>
  <si>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</si>
  <si>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</si>
  <si>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</si>
  <si>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</si>
  <si>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</si>
  <si>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</si>
  <si>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</si>
  <si>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ROW NO</t>
  </si>
  <si>
    <t>COLUMN NO</t>
  </si>
  <si>
    <t>VALUE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</si>
  <si>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</si>
  <si>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</si>
  <si>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</si>
  <si>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</si>
  <si>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</si>
  <si>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</si>
  <si>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</si>
  <si>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</si>
  <si>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Position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</si>
  <si>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</si>
  <si>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</si>
  <si>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</si>
  <si>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</si>
  <si>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</si>
  <si>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</si>
  <si>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</si>
  <si>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</si>
  <si>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</si>
  <si>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</si>
  <si>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</si>
  <si>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</si>
  <si>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</si>
  <si>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</si>
  <si>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</si>
  <si>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</si>
  <si>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</si>
  <si>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</si>
  <si>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</si>
  <si>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</si>
  <si>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</si>
  <si>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</si>
  <si>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</si>
  <si>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</si>
  <si>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</si>
  <si>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</si>
  <si>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</si>
  <si>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</si>
  <si>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</si>
  <si>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</si>
  <si>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</si>
  <si>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</si>
  <si>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</si>
  <si>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</si>
  <si>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</si>
  <si>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</si>
  <si>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</si>
  <si>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</si>
  <si>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</si>
  <si>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</si>
  <si>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</si>
  <si>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</si>
  <si>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</si>
  <si>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</si>
  <si>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</si>
  <si>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</si>
  <si>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</si>
  <si>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</si>
  <si>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</si>
  <si>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</si>
  <si>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</si>
  <si>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</si>
  <si>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</si>
  <si>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</si>
  <si>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</si>
  <si>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</si>
  <si>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</si>
  <si>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</si>
  <si>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</si>
  <si>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</si>
  <si>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</si>
  <si>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</si>
  <si>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</si>
  <si>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</si>
  <si>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</si>
  <si>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</si>
  <si>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</si>
  <si>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</si>
  <si>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</si>
  <si>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</si>
  <si>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</si>
  <si>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</si>
  <si>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</si>
  <si>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</si>
  <si>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</si>
  <si>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</si>
  <si>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</si>
  <si>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</si>
  <si>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</si>
  <si>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</si>
  <si>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</si>
  <si>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</si>
  <si>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</si>
  <si>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</si>
  <si>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</si>
  <si>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</si>
  <si>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</si>
  <si>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</si>
  <si>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Product ID</t>
  </si>
  <si>
    <t>Product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</si>
  <si>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</si>
  <si>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</si>
  <si>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</si>
  <si>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</si>
  <si>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</si>
  <si>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</si>
  <si>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</si>
  <si>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</si>
  <si>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</si>
  <si>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</si>
  <si>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</si>
  <si>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</si>
  <si>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Clothing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</si>
  <si>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</si>
  <si>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</si>
  <si>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</si>
  <si>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Maximum Sales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</si>
  <si>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</si>
  <si>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</si>
  <si>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</si>
  <si>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</si>
  <si>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</si>
  <si>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Month</t>
  </si>
  <si>
    <t>Jan</t>
  </si>
  <si>
    <t>Sales</t>
  </si>
  <si>
    <t>Average Sales</t>
  </si>
  <si>
    <t>Month with Max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</si>
</sst>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4" fontId="1" fillId="0" borderId="1" xfId="0" applyNumberFormat="1" applyFont="1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4DF5-0503-47B0-B0F4-7CB49F135913}">
  <dimension ref="A1:W101"/>
  <sheetViews>
    <sheetView workbookViewId="0">
      <selection activeCell="W26" sqref="W26"/>
    </sheetView>
  </sheetViews>
  <sheetFormatPr defaultRowHeight="15" x14ac:dyDescent="0.25"/>
  <cols>
    <col min="1" max="1" width="9.28515625" bestFit="1" customWidth="1"/>
    <col min="2" max="2" width="11" bestFit="1" customWidth="1"/>
    <col min="3" max="3" width="14.7109375" bestFit="1" customWidth="1"/>
    <col min="4" max="4" width="6.7109375" bestFit="1" customWidth="1"/>
    <col min="5" max="5" width="13.140625" bestFit="1" customWidth="1"/>
    <col min="6" max="6" width="12.42578125" bestFit="1" customWidth="1"/>
    <col min="7" max="7" width="8.28515625" bestFit="1" customWidth="1"/>
    <col min="9" max="9" width="8.28515625" bestFit="1" customWidth="1"/>
    <col min="10" max="10" width="9.85546875" bestFit="1" customWidth="1"/>
    <col min="11" max="11" width="8" bestFit="1" customWidth="1"/>
    <col min="12" max="12" width="14.140625" bestFit="1" customWidth="1"/>
    <col min="15" max="15" width="10.140625" customWidth="1"/>
    <col min="16" max="16" width="14.28515625" bestFit="1" customWidth="1"/>
    <col min="18" max="18" width="10.85546875" bestFit="1" customWidth="1"/>
    <col min="19" max="19" width="13.85546875" customWidth="1"/>
    <col min="24" max="24" width="10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3" x14ac:dyDescent="0.2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23" x14ac:dyDescent="0.2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  <c r="N3" s="1" t="s">
        <v>24</v>
      </c>
      <c r="O3" s="1" t="s">
        <v>25</v>
      </c>
      <c r="Q3" s="1" t="s">
        <v>0</v>
      </c>
      <c r="R3" s="1" t="s">
        <v>1</v>
      </c>
      <c r="S3" s="1" t="s">
        <v>2</v>
      </c>
      <c r="T3" s="1" t="s">
        <v>3</v>
      </c>
      <c r="U3" s="1" t="s">
        <v>4</v>
      </c>
      <c r="V3" s="1" t="s">
        <v>5</v>
      </c>
      <c r="W3" s="1" t="s">
        <v>6</v>
      </c>
    </row>
    <row r="4" spans="1:23" x14ac:dyDescent="0.25">
      <c r="A4" s="2" t="s">
        <v>26</v>
      </c>
      <c r="B4" s="3">
        <v>45197</v>
      </c>
      <c r="C4" s="2" t="s">
        <v>13</v>
      </c>
      <c r="D4" s="2" t="s">
        <v>20</v>
      </c>
      <c r="E4" s="2" t="s">
        <v>27</v>
      </c>
      <c r="F4" s="2" t="s">
        <v>28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  <c r="N4" s="1">
        <v>5</v>
      </c>
      <c r="O4" s="1" t="str" cm="1">
        <f t="array" ref="O4">INDEX(A1:A101,N4)</f>
        <v>ORD-1003</v>
      </c>
      <c r="Q4" s="1" t="s">
        <v>29</v>
      </c>
      <c r="R4" s="4">
        <f t="shared" ref="R4:W4" si="0">INDEX(B1:B101,MATCH($Q$4,$A$1:$A$101,0))</f>
        <v>45033</v>
      </c>
      <c r="S4" s="1" t="str">
        <f t="shared" si="0"/>
        <v>Simran</v>
      </c>
      <c r="T4" s="1" t="str">
        <f t="shared" si="0"/>
        <v>South</v>
      </c>
      <c r="U4" s="1" t="str">
        <f t="shared" si="0"/>
        <v>Office Supplies</v>
      </c>
      <c r="V4" s="1" t="str">
        <f t="shared" si="0"/>
        <v>Paper</v>
      </c>
      <c r="W4" s="1">
        <f t="shared" si="0"/>
        <v>5</v>
      </c>
    </row>
    <row r="5" spans="1:23" x14ac:dyDescent="0.25">
      <c r="A5" s="2" t="s">
        <v>29</v>
      </c>
      <c r="B5" s="3">
        <v>45033</v>
      </c>
      <c r="C5" s="2" t="s">
        <v>30</v>
      </c>
      <c r="D5" s="2" t="s">
        <v>14</v>
      </c>
      <c r="E5" s="2" t="s">
        <v>15</v>
      </c>
      <c r="F5" s="2" t="s">
        <v>31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32</v>
      </c>
      <c r="N5" s="1">
        <v>20</v>
      </c>
      <c r="O5" s="1" t="str" cm="1">
        <f t="array" ref="O5">INDEX(A1:A101,N5)</f>
        <v>ORD-1018</v>
      </c>
      <c r="Q5" s="1" t="s">
        <v>33</v>
      </c>
      <c r="R5" s="4">
        <f>INDEX($A$1:$L$101,MATCH($Q$5,$A$1:$A$101,0),MATCH(R3,$A$1:$L$1,0))</f>
        <v>45115</v>
      </c>
      <c r="S5" s="1" t="str">
        <f>INDEX($A$1:$L$101,MATCH($Q$5,$A$1:$A$101,0),MATCH(S3,$A$1:$L$1,0))</f>
        <v>Sneha</v>
      </c>
      <c r="T5" s="1" t="str">
        <f t="shared" ref="T5:W5" si="1">INDEX($A$1:$L$101,MATCH($Q$5,$A$1:$A$101,0),MATCH(T3,$A$1:$L$1,0))</f>
        <v>South</v>
      </c>
      <c r="U5" s="1" t="str">
        <f t="shared" si="1"/>
        <v>Furniture</v>
      </c>
      <c r="V5" s="1" t="str">
        <f t="shared" si="1"/>
        <v>Bookcases</v>
      </c>
      <c r="W5" s="1">
        <f t="shared" si="1"/>
        <v>4</v>
      </c>
    </row>
    <row r="6" spans="1:23" x14ac:dyDescent="0.25">
      <c r="A6" s="2" t="s">
        <v>34</v>
      </c>
      <c r="B6" s="3">
        <v>44998</v>
      </c>
      <c r="C6" s="2" t="s">
        <v>13</v>
      </c>
      <c r="D6" s="2" t="s">
        <v>20</v>
      </c>
      <c r="E6" s="2" t="s">
        <v>27</v>
      </c>
      <c r="F6" s="2" t="s">
        <v>28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23" x14ac:dyDescent="0.25">
      <c r="A7" s="2" t="s">
        <v>33</v>
      </c>
      <c r="B7" s="3">
        <v>45115</v>
      </c>
      <c r="C7" s="2" t="s">
        <v>35</v>
      </c>
      <c r="D7" s="2" t="s">
        <v>14</v>
      </c>
      <c r="E7" s="2" t="s">
        <v>27</v>
      </c>
      <c r="F7" s="2" t="s">
        <v>28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36</v>
      </c>
      <c r="N7" s="1" t="s">
        <v>24</v>
      </c>
      <c r="O7" s="1" t="s">
        <v>25</v>
      </c>
    </row>
    <row r="8" spans="1:23" x14ac:dyDescent="0.25">
      <c r="A8" s="2" t="s">
        <v>37</v>
      </c>
      <c r="B8" s="3">
        <v>44947</v>
      </c>
      <c r="C8" s="2" t="s">
        <v>38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  <c r="N8" s="1">
        <v>3</v>
      </c>
      <c r="O8" s="1" t="str" cm="1">
        <f t="array" ref="O8">INDEX(A1:L1,,N8)</f>
        <v>Customer Name</v>
      </c>
    </row>
    <row r="9" spans="1:23" x14ac:dyDescent="0.25">
      <c r="A9" s="2" t="s">
        <v>39</v>
      </c>
      <c r="B9" s="3">
        <v>45029</v>
      </c>
      <c r="C9" s="2" t="s">
        <v>40</v>
      </c>
      <c r="D9" s="2" t="s">
        <v>41</v>
      </c>
      <c r="E9" s="2" t="s">
        <v>15</v>
      </c>
      <c r="F9" s="2" t="s">
        <v>42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36</v>
      </c>
      <c r="N9" s="1">
        <v>6</v>
      </c>
      <c r="O9" s="1" t="str" cm="1">
        <f t="array" ref="O9">INDEX(A1:L1,N9)</f>
        <v>Sub-Category</v>
      </c>
    </row>
    <row r="10" spans="1:23" x14ac:dyDescent="0.25">
      <c r="A10" s="2" t="s">
        <v>43</v>
      </c>
      <c r="B10" s="3">
        <v>45048</v>
      </c>
      <c r="C10" s="2" t="s">
        <v>13</v>
      </c>
      <c r="D10" s="2" t="s">
        <v>44</v>
      </c>
      <c r="E10" s="2" t="s">
        <v>27</v>
      </c>
      <c r="F10" s="2" t="s">
        <v>28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23" x14ac:dyDescent="0.25">
      <c r="A11" s="2" t="s">
        <v>45</v>
      </c>
      <c r="B11" s="3">
        <v>45141</v>
      </c>
      <c r="C11" s="2" t="s">
        <v>46</v>
      </c>
      <c r="D11" s="2" t="s">
        <v>14</v>
      </c>
      <c r="E11" s="2" t="s">
        <v>21</v>
      </c>
      <c r="F11" s="2" t="s">
        <v>47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32</v>
      </c>
      <c r="N11" s="1" t="s">
        <v>48</v>
      </c>
      <c r="O11" s="1" t="s">
        <v>49</v>
      </c>
      <c r="P11" s="1" t="s">
        <v>50</v>
      </c>
    </row>
    <row r="12" spans="1:23" x14ac:dyDescent="0.25">
      <c r="A12" s="2" t="s">
        <v>51</v>
      </c>
      <c r="B12" s="3">
        <v>45257</v>
      </c>
      <c r="C12" s="2" t="s">
        <v>46</v>
      </c>
      <c r="D12" s="2" t="s">
        <v>20</v>
      </c>
      <c r="E12" s="2" t="s">
        <v>21</v>
      </c>
      <c r="F12" s="2" t="s">
        <v>47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36</v>
      </c>
      <c r="N12" s="1">
        <v>9</v>
      </c>
      <c r="O12" s="1">
        <v>9</v>
      </c>
      <c r="P12" s="1" cm="1">
        <f t="array" ref="P12">INDEX(A1:L101,N12,O12)</f>
        <v>0</v>
      </c>
    </row>
    <row r="13" spans="1:23" x14ac:dyDescent="0.25">
      <c r="A13" s="2" t="s">
        <v>52</v>
      </c>
      <c r="B13" s="3">
        <v>45014</v>
      </c>
      <c r="C13" s="2" t="s">
        <v>35</v>
      </c>
      <c r="D13" s="2" t="s">
        <v>44</v>
      </c>
      <c r="E13" s="2" t="s">
        <v>21</v>
      </c>
      <c r="F13" s="2" t="s">
        <v>53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32</v>
      </c>
      <c r="N13" s="1">
        <v>6</v>
      </c>
      <c r="O13" s="1">
        <v>12</v>
      </c>
      <c r="P13" s="1" t="str" cm="1">
        <f t="array" ref="P13">INDEX(A1:L101,N13,O13)</f>
        <v>UPI</v>
      </c>
    </row>
    <row r="14" spans="1:23" x14ac:dyDescent="0.25">
      <c r="A14" s="2" t="s">
        <v>54</v>
      </c>
      <c r="B14" s="3">
        <v>45026</v>
      </c>
      <c r="C14" s="2" t="s">
        <v>46</v>
      </c>
      <c r="D14" s="2" t="s">
        <v>20</v>
      </c>
      <c r="E14" s="2" t="s">
        <v>21</v>
      </c>
      <c r="F14" s="2" t="s">
        <v>53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23" x14ac:dyDescent="0.25">
      <c r="A15" s="2" t="s">
        <v>55</v>
      </c>
      <c r="B15" s="3">
        <v>45286</v>
      </c>
      <c r="C15" s="2" t="s">
        <v>56</v>
      </c>
      <c r="D15" s="2" t="s">
        <v>41</v>
      </c>
      <c r="E15" s="2" t="s">
        <v>27</v>
      </c>
      <c r="F15" s="2" t="s">
        <v>57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36</v>
      </c>
    </row>
    <row r="16" spans="1:23" x14ac:dyDescent="0.25">
      <c r="A16" s="2" t="s">
        <v>58</v>
      </c>
      <c r="B16" s="3">
        <v>45078</v>
      </c>
      <c r="C16" s="2" t="s">
        <v>38</v>
      </c>
      <c r="D16" s="2" t="s">
        <v>41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  <c r="N16" s="1" t="s">
        <v>25</v>
      </c>
      <c r="O16" s="1" t="s">
        <v>59</v>
      </c>
    </row>
    <row r="17" spans="1:16" x14ac:dyDescent="0.25">
      <c r="A17" s="2" t="s">
        <v>60</v>
      </c>
      <c r="B17" s="3">
        <v>45057</v>
      </c>
      <c r="C17" s="2" t="s">
        <v>40</v>
      </c>
      <c r="D17" s="2" t="s">
        <v>44</v>
      </c>
      <c r="E17" s="2" t="s">
        <v>27</v>
      </c>
      <c r="F17" s="2" t="s">
        <v>61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  <c r="N17" s="1" t="s">
        <v>6</v>
      </c>
      <c r="O17" s="1">
        <f>MATCH(N17,A1:L1,0)</f>
        <v>7</v>
      </c>
    </row>
    <row r="18" spans="1:16" x14ac:dyDescent="0.25">
      <c r="A18" s="2" t="s">
        <v>62</v>
      </c>
      <c r="B18" s="3">
        <v>45076</v>
      </c>
      <c r="C18" s="2" t="s">
        <v>38</v>
      </c>
      <c r="D18" s="2" t="s">
        <v>41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36</v>
      </c>
      <c r="N18" s="1" t="s">
        <v>7</v>
      </c>
      <c r="O18" s="1">
        <f>MATCH(N18,A1:L1,0)</f>
        <v>8</v>
      </c>
    </row>
    <row r="19" spans="1:16" x14ac:dyDescent="0.25">
      <c r="A19" s="2" t="s">
        <v>63</v>
      </c>
      <c r="B19" s="3">
        <v>45235</v>
      </c>
      <c r="C19" s="2" t="s">
        <v>40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  <c r="N19" s="1" t="s">
        <v>13</v>
      </c>
      <c r="O19" s="1">
        <f>MATCH(N19,C1:C101,0)</f>
        <v>2</v>
      </c>
    </row>
    <row r="20" spans="1:16" x14ac:dyDescent="0.25">
      <c r="A20" s="2" t="s">
        <v>64</v>
      </c>
      <c r="B20" s="3">
        <v>45184</v>
      </c>
      <c r="C20" s="2" t="s">
        <v>65</v>
      </c>
      <c r="D20" s="2" t="s">
        <v>41</v>
      </c>
      <c r="E20" s="2" t="s">
        <v>15</v>
      </c>
      <c r="F20" s="2" t="s">
        <v>42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  <c r="N20" s="1" t="s">
        <v>28</v>
      </c>
      <c r="O20" s="1">
        <f>MATCH(N20,F1:F101,0)</f>
        <v>4</v>
      </c>
    </row>
    <row r="21" spans="1:16" x14ac:dyDescent="0.25">
      <c r="A21" s="2" t="s">
        <v>66</v>
      </c>
      <c r="B21" s="3">
        <v>45270</v>
      </c>
      <c r="C21" s="2" t="s">
        <v>35</v>
      </c>
      <c r="D21" s="2" t="s">
        <v>14</v>
      </c>
      <c r="E21" s="2" t="s">
        <v>21</v>
      </c>
      <c r="F21" s="2" t="s">
        <v>47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6" x14ac:dyDescent="0.25">
      <c r="A22" s="2" t="s">
        <v>67</v>
      </c>
      <c r="B22" s="3">
        <v>45220</v>
      </c>
      <c r="C22" s="2" t="s">
        <v>13</v>
      </c>
      <c r="D22" s="2" t="s">
        <v>41</v>
      </c>
      <c r="E22" s="2" t="s">
        <v>15</v>
      </c>
      <c r="F22" s="2" t="s">
        <v>31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32</v>
      </c>
    </row>
    <row r="23" spans="1:16" x14ac:dyDescent="0.25">
      <c r="A23" s="2" t="s">
        <v>68</v>
      </c>
      <c r="B23" s="3">
        <v>45118</v>
      </c>
      <c r="C23" s="2" t="s">
        <v>56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  <c r="N23" s="1" t="s">
        <v>1</v>
      </c>
      <c r="O23" s="1" t="s">
        <v>9</v>
      </c>
      <c r="P23" s="1" t="s">
        <v>0</v>
      </c>
    </row>
    <row r="24" spans="1:16" x14ac:dyDescent="0.25">
      <c r="A24" s="2" t="s">
        <v>69</v>
      </c>
      <c r="B24" s="3">
        <v>45203</v>
      </c>
      <c r="C24" s="2" t="s">
        <v>35</v>
      </c>
      <c r="D24" s="2" t="s">
        <v>44</v>
      </c>
      <c r="E24" s="2" t="s">
        <v>21</v>
      </c>
      <c r="F24" s="2" t="s">
        <v>53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  <c r="N24" s="4">
        <v>45076</v>
      </c>
      <c r="O24" s="1">
        <f>INDEX(J1:J101,MATCH(N24,B1:B101,0))</f>
        <v>1522.6</v>
      </c>
      <c r="P24" s="1" t="str">
        <f>INDEX(A1:A101,MATCH(N24,B1:B101,0))</f>
        <v>ORD-1016</v>
      </c>
    </row>
    <row r="25" spans="1:16" x14ac:dyDescent="0.25">
      <c r="A25" s="2" t="s">
        <v>70</v>
      </c>
      <c r="B25" s="3">
        <v>45087</v>
      </c>
      <c r="C25" s="2" t="s">
        <v>38</v>
      </c>
      <c r="D25" s="2" t="s">
        <v>20</v>
      </c>
      <c r="E25" s="2" t="s">
        <v>27</v>
      </c>
      <c r="F25" s="2" t="s">
        <v>28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32</v>
      </c>
      <c r="N25" s="4">
        <v>45220</v>
      </c>
      <c r="O25" s="1">
        <f>INDEX(J1:J101,MATCH(N25,B1:B101,0))</f>
        <v>3322.07</v>
      </c>
      <c r="P25" s="1" t="str">
        <f>INDEX(A1:A101,MATCH(N25,B1:B101,0))</f>
        <v>ORD-1020</v>
      </c>
    </row>
    <row r="26" spans="1:16" x14ac:dyDescent="0.25">
      <c r="A26" s="2" t="s">
        <v>71</v>
      </c>
      <c r="B26" s="3">
        <v>45240</v>
      </c>
      <c r="C26" s="2" t="s">
        <v>65</v>
      </c>
      <c r="D26" s="2" t="s">
        <v>44</v>
      </c>
      <c r="E26" s="2" t="s">
        <v>27</v>
      </c>
      <c r="F26" s="2" t="s">
        <v>61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36</v>
      </c>
    </row>
    <row r="27" spans="1:16" x14ac:dyDescent="0.25">
      <c r="A27" s="2" t="s">
        <v>72</v>
      </c>
      <c r="B27" s="3">
        <v>44948</v>
      </c>
      <c r="C27" s="2" t="s">
        <v>13</v>
      </c>
      <c r="D27" s="2" t="s">
        <v>41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6" x14ac:dyDescent="0.25">
      <c r="A28" s="2" t="s">
        <v>73</v>
      </c>
      <c r="B28" s="3">
        <v>45179</v>
      </c>
      <c r="C28" s="2" t="s">
        <v>65</v>
      </c>
      <c r="D28" s="2" t="s">
        <v>14</v>
      </c>
      <c r="E28" s="2" t="s">
        <v>27</v>
      </c>
      <c r="F28" s="2" t="s">
        <v>28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32</v>
      </c>
    </row>
    <row r="29" spans="1:16" x14ac:dyDescent="0.25">
      <c r="A29" s="2" t="s">
        <v>74</v>
      </c>
      <c r="B29" s="3">
        <v>45162</v>
      </c>
      <c r="C29" s="2" t="s">
        <v>30</v>
      </c>
      <c r="D29" s="2" t="s">
        <v>44</v>
      </c>
      <c r="E29" s="2" t="s">
        <v>15</v>
      </c>
      <c r="F29" s="2" t="s">
        <v>42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32</v>
      </c>
    </row>
    <row r="30" spans="1:16" x14ac:dyDescent="0.25">
      <c r="A30" s="2" t="s">
        <v>75</v>
      </c>
      <c r="B30" s="3">
        <v>45271</v>
      </c>
      <c r="C30" s="2" t="s">
        <v>30</v>
      </c>
      <c r="D30" s="2" t="s">
        <v>20</v>
      </c>
      <c r="E30" s="2" t="s">
        <v>27</v>
      </c>
      <c r="F30" s="2" t="s">
        <v>61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6" x14ac:dyDescent="0.25">
      <c r="A31" s="2" t="s">
        <v>76</v>
      </c>
      <c r="B31" s="3">
        <v>44975</v>
      </c>
      <c r="C31" s="2" t="s">
        <v>65</v>
      </c>
      <c r="D31" s="2" t="s">
        <v>41</v>
      </c>
      <c r="E31" s="2" t="s">
        <v>27</v>
      </c>
      <c r="F31" s="2" t="s">
        <v>61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6" x14ac:dyDescent="0.25">
      <c r="A32" s="2" t="s">
        <v>77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47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25">
      <c r="A33" s="2" t="s">
        <v>78</v>
      </c>
      <c r="B33" s="3">
        <v>45096</v>
      </c>
      <c r="C33" s="2" t="s">
        <v>56</v>
      </c>
      <c r="D33" s="2" t="s">
        <v>20</v>
      </c>
      <c r="E33" s="2" t="s">
        <v>15</v>
      </c>
      <c r="F33" s="2" t="s">
        <v>31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25">
      <c r="A34" s="2" t="s">
        <v>79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31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32</v>
      </c>
    </row>
    <row r="35" spans="1:12" x14ac:dyDescent="0.25">
      <c r="A35" s="2" t="s">
        <v>80</v>
      </c>
      <c r="B35" s="3">
        <v>45197</v>
      </c>
      <c r="C35" s="2" t="s">
        <v>38</v>
      </c>
      <c r="D35" s="2" t="s">
        <v>41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36</v>
      </c>
    </row>
    <row r="36" spans="1:12" x14ac:dyDescent="0.25">
      <c r="A36" s="2" t="s">
        <v>81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53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36</v>
      </c>
    </row>
    <row r="37" spans="1:12" x14ac:dyDescent="0.25">
      <c r="A37" s="2" t="s">
        <v>82</v>
      </c>
      <c r="B37" s="3">
        <v>45101</v>
      </c>
      <c r="C37" s="2" t="s">
        <v>30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36</v>
      </c>
    </row>
    <row r="38" spans="1:12" x14ac:dyDescent="0.25">
      <c r="A38" s="2" t="s">
        <v>83</v>
      </c>
      <c r="B38" s="3">
        <v>44977</v>
      </c>
      <c r="C38" s="2" t="s">
        <v>19</v>
      </c>
      <c r="D38" s="2" t="s">
        <v>41</v>
      </c>
      <c r="E38" s="2" t="s">
        <v>15</v>
      </c>
      <c r="F38" s="2" t="s">
        <v>42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25">
      <c r="A39" s="2" t="s">
        <v>84</v>
      </c>
      <c r="B39" s="3">
        <v>45290</v>
      </c>
      <c r="C39" s="2" t="s">
        <v>13</v>
      </c>
      <c r="D39" s="2" t="s">
        <v>14</v>
      </c>
      <c r="E39" s="2" t="s">
        <v>27</v>
      </c>
      <c r="F39" s="2" t="s">
        <v>57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36</v>
      </c>
    </row>
    <row r="40" spans="1:12" x14ac:dyDescent="0.25">
      <c r="A40" s="2" t="s">
        <v>85</v>
      </c>
      <c r="B40" s="3">
        <v>44981</v>
      </c>
      <c r="C40" s="2" t="s">
        <v>30</v>
      </c>
      <c r="D40" s="2" t="s">
        <v>14</v>
      </c>
      <c r="E40" s="2" t="s">
        <v>27</v>
      </c>
      <c r="F40" s="2" t="s">
        <v>57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32</v>
      </c>
    </row>
    <row r="41" spans="1:12" x14ac:dyDescent="0.25">
      <c r="A41" s="2" t="s">
        <v>86</v>
      </c>
      <c r="B41" s="3">
        <v>45170</v>
      </c>
      <c r="C41" s="2" t="s">
        <v>30</v>
      </c>
      <c r="D41" s="2" t="s">
        <v>14</v>
      </c>
      <c r="E41" s="2" t="s">
        <v>27</v>
      </c>
      <c r="F41" s="2" t="s">
        <v>28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36</v>
      </c>
    </row>
    <row r="42" spans="1:12" x14ac:dyDescent="0.25">
      <c r="A42" s="2" t="s">
        <v>87</v>
      </c>
      <c r="B42" s="3">
        <v>45246</v>
      </c>
      <c r="C42" s="2" t="s">
        <v>38</v>
      </c>
      <c r="D42" s="2" t="s">
        <v>41</v>
      </c>
      <c r="E42" s="2" t="s">
        <v>21</v>
      </c>
      <c r="F42" s="2" t="s">
        <v>47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32</v>
      </c>
    </row>
    <row r="43" spans="1:12" x14ac:dyDescent="0.25">
      <c r="A43" s="2" t="s">
        <v>88</v>
      </c>
      <c r="B43" s="3">
        <v>45057</v>
      </c>
      <c r="C43" s="2" t="s">
        <v>35</v>
      </c>
      <c r="D43" s="2" t="s">
        <v>20</v>
      </c>
      <c r="E43" s="2" t="s">
        <v>15</v>
      </c>
      <c r="F43" s="2" t="s">
        <v>42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32</v>
      </c>
    </row>
    <row r="44" spans="1:12" x14ac:dyDescent="0.25">
      <c r="A44" s="2" t="s">
        <v>89</v>
      </c>
      <c r="B44" s="3">
        <v>45233</v>
      </c>
      <c r="C44" s="2" t="s">
        <v>46</v>
      </c>
      <c r="D44" s="2" t="s">
        <v>41</v>
      </c>
      <c r="E44" s="2" t="s">
        <v>27</v>
      </c>
      <c r="F44" s="2" t="s">
        <v>61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25">
      <c r="A45" s="2" t="s">
        <v>90</v>
      </c>
      <c r="B45" s="3">
        <v>45061</v>
      </c>
      <c r="C45" s="2" t="s">
        <v>46</v>
      </c>
      <c r="D45" s="2" t="s">
        <v>14</v>
      </c>
      <c r="E45" s="2" t="s">
        <v>15</v>
      </c>
      <c r="F45" s="2" t="s">
        <v>31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32</v>
      </c>
    </row>
    <row r="46" spans="1:12" x14ac:dyDescent="0.25">
      <c r="A46" s="2" t="s">
        <v>91</v>
      </c>
      <c r="B46" s="3">
        <v>44947</v>
      </c>
      <c r="C46" s="2" t="s">
        <v>35</v>
      </c>
      <c r="D46" s="2" t="s">
        <v>44</v>
      </c>
      <c r="E46" s="2" t="s">
        <v>27</v>
      </c>
      <c r="F46" s="2" t="s">
        <v>57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25">
      <c r="A47" s="2" t="s">
        <v>92</v>
      </c>
      <c r="B47" s="3">
        <v>45255</v>
      </c>
      <c r="C47" s="2" t="s">
        <v>40</v>
      </c>
      <c r="D47" s="2" t="s">
        <v>41</v>
      </c>
      <c r="E47" s="2" t="s">
        <v>27</v>
      </c>
      <c r="F47" s="2" t="s">
        <v>61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32</v>
      </c>
    </row>
    <row r="48" spans="1:12" x14ac:dyDescent="0.25">
      <c r="A48" s="2" t="s">
        <v>93</v>
      </c>
      <c r="B48" s="3">
        <v>45093</v>
      </c>
      <c r="C48" s="2" t="s">
        <v>65</v>
      </c>
      <c r="D48" s="2" t="s">
        <v>20</v>
      </c>
      <c r="E48" s="2" t="s">
        <v>15</v>
      </c>
      <c r="F48" s="2" t="s">
        <v>31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25">
      <c r="A49" s="2" t="s">
        <v>94</v>
      </c>
      <c r="B49" s="3">
        <v>45200</v>
      </c>
      <c r="C49" s="2" t="s">
        <v>46</v>
      </c>
      <c r="D49" s="2" t="s">
        <v>44</v>
      </c>
      <c r="E49" s="2" t="s">
        <v>27</v>
      </c>
      <c r="F49" s="2" t="s">
        <v>61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25">
      <c r="A50" s="2" t="s">
        <v>95</v>
      </c>
      <c r="B50" s="3">
        <v>45015</v>
      </c>
      <c r="C50" s="2" t="s">
        <v>96</v>
      </c>
      <c r="D50" s="2" t="s">
        <v>41</v>
      </c>
      <c r="E50" s="2" t="s">
        <v>27</v>
      </c>
      <c r="F50" s="2" t="s">
        <v>57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36</v>
      </c>
    </row>
    <row r="51" spans="1:12" x14ac:dyDescent="0.25">
      <c r="A51" s="2" t="s">
        <v>97</v>
      </c>
      <c r="B51" s="3">
        <v>45242</v>
      </c>
      <c r="C51" s="2" t="s">
        <v>40</v>
      </c>
      <c r="D51" s="2" t="s">
        <v>41</v>
      </c>
      <c r="E51" s="2" t="s">
        <v>15</v>
      </c>
      <c r="F51" s="2" t="s">
        <v>42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25">
      <c r="A52" s="2" t="s">
        <v>98</v>
      </c>
      <c r="B52" s="3">
        <v>44940</v>
      </c>
      <c r="C52" s="2" t="s">
        <v>30</v>
      </c>
      <c r="D52" s="2" t="s">
        <v>20</v>
      </c>
      <c r="E52" s="2" t="s">
        <v>27</v>
      </c>
      <c r="F52" s="2" t="s">
        <v>61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25">
      <c r="A53" s="2" t="s">
        <v>99</v>
      </c>
      <c r="B53" s="3">
        <v>45168</v>
      </c>
      <c r="C53" s="2" t="s">
        <v>35</v>
      </c>
      <c r="D53" s="2" t="s">
        <v>20</v>
      </c>
      <c r="E53" s="2" t="s">
        <v>15</v>
      </c>
      <c r="F53" s="2" t="s">
        <v>42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32</v>
      </c>
    </row>
    <row r="54" spans="1:12" x14ac:dyDescent="0.25">
      <c r="A54" s="2" t="s">
        <v>100</v>
      </c>
      <c r="B54" s="3">
        <v>45191</v>
      </c>
      <c r="C54" s="2" t="s">
        <v>40</v>
      </c>
      <c r="D54" s="2" t="s">
        <v>14</v>
      </c>
      <c r="E54" s="2" t="s">
        <v>27</v>
      </c>
      <c r="F54" s="2" t="s">
        <v>57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25">
      <c r="A55" s="2" t="s">
        <v>101</v>
      </c>
      <c r="B55" s="3">
        <v>45272</v>
      </c>
      <c r="C55" s="2" t="s">
        <v>46</v>
      </c>
      <c r="D55" s="2" t="s">
        <v>14</v>
      </c>
      <c r="E55" s="2" t="s">
        <v>21</v>
      </c>
      <c r="F55" s="2" t="s">
        <v>53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32</v>
      </c>
    </row>
    <row r="56" spans="1:12" x14ac:dyDescent="0.25">
      <c r="A56" s="2" t="s">
        <v>102</v>
      </c>
      <c r="B56" s="3">
        <v>44979</v>
      </c>
      <c r="C56" s="2" t="s">
        <v>96</v>
      </c>
      <c r="D56" s="2" t="s">
        <v>44</v>
      </c>
      <c r="E56" s="2" t="s">
        <v>27</v>
      </c>
      <c r="F56" s="2" t="s">
        <v>28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32</v>
      </c>
    </row>
    <row r="57" spans="1:12" x14ac:dyDescent="0.25">
      <c r="A57" s="2" t="s">
        <v>103</v>
      </c>
      <c r="B57" s="3">
        <v>45266</v>
      </c>
      <c r="C57" s="2" t="s">
        <v>35</v>
      </c>
      <c r="D57" s="2" t="s">
        <v>41</v>
      </c>
      <c r="E57" s="2" t="s">
        <v>21</v>
      </c>
      <c r="F57" s="2" t="s">
        <v>47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25">
      <c r="A58" s="2" t="s">
        <v>104</v>
      </c>
      <c r="B58" s="3">
        <v>45018</v>
      </c>
      <c r="C58" s="2" t="s">
        <v>40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32</v>
      </c>
    </row>
    <row r="59" spans="1:12" x14ac:dyDescent="0.25">
      <c r="A59" s="2" t="s">
        <v>105</v>
      </c>
      <c r="B59" s="3">
        <v>45190</v>
      </c>
      <c r="C59" s="2" t="s">
        <v>13</v>
      </c>
      <c r="D59" s="2" t="s">
        <v>41</v>
      </c>
      <c r="E59" s="2" t="s">
        <v>27</v>
      </c>
      <c r="F59" s="2" t="s">
        <v>61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25">
      <c r="A60" s="2" t="s">
        <v>106</v>
      </c>
      <c r="B60" s="3">
        <v>44961</v>
      </c>
      <c r="C60" s="2" t="s">
        <v>35</v>
      </c>
      <c r="D60" s="2" t="s">
        <v>20</v>
      </c>
      <c r="E60" s="2" t="s">
        <v>27</v>
      </c>
      <c r="F60" s="2" t="s">
        <v>28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36</v>
      </c>
    </row>
    <row r="61" spans="1:12" x14ac:dyDescent="0.25">
      <c r="A61" s="2" t="s">
        <v>107</v>
      </c>
      <c r="B61" s="3">
        <v>45132</v>
      </c>
      <c r="C61" s="2" t="s">
        <v>40</v>
      </c>
      <c r="D61" s="2" t="s">
        <v>20</v>
      </c>
      <c r="E61" s="2" t="s">
        <v>27</v>
      </c>
      <c r="F61" s="2" t="s">
        <v>57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32</v>
      </c>
    </row>
    <row r="62" spans="1:12" x14ac:dyDescent="0.25">
      <c r="A62" s="2" t="s">
        <v>108</v>
      </c>
      <c r="B62" s="3">
        <v>45007</v>
      </c>
      <c r="C62" s="2" t="s">
        <v>30</v>
      </c>
      <c r="D62" s="2" t="s">
        <v>41</v>
      </c>
      <c r="E62" s="2" t="s">
        <v>21</v>
      </c>
      <c r="F62" s="2" t="s">
        <v>53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25">
      <c r="A63" s="2" t="s">
        <v>109</v>
      </c>
      <c r="B63" s="3">
        <v>44976</v>
      </c>
      <c r="C63" s="2" t="s">
        <v>46</v>
      </c>
      <c r="D63" s="2" t="s">
        <v>44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36</v>
      </c>
    </row>
    <row r="64" spans="1:12" x14ac:dyDescent="0.25">
      <c r="A64" s="2" t="s">
        <v>110</v>
      </c>
      <c r="B64" s="3">
        <v>45286</v>
      </c>
      <c r="C64" s="2" t="s">
        <v>13</v>
      </c>
      <c r="D64" s="2" t="s">
        <v>20</v>
      </c>
      <c r="E64" s="2" t="s">
        <v>27</v>
      </c>
      <c r="F64" s="2" t="s">
        <v>61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36</v>
      </c>
    </row>
    <row r="65" spans="1:12" x14ac:dyDescent="0.25">
      <c r="A65" s="2" t="s">
        <v>111</v>
      </c>
      <c r="B65" s="3">
        <v>44928</v>
      </c>
      <c r="C65" s="2" t="s">
        <v>19</v>
      </c>
      <c r="D65" s="2" t="s">
        <v>41</v>
      </c>
      <c r="E65" s="2" t="s">
        <v>21</v>
      </c>
      <c r="F65" s="2" t="s">
        <v>53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36</v>
      </c>
    </row>
    <row r="66" spans="1:12" x14ac:dyDescent="0.25">
      <c r="A66" s="2" t="s">
        <v>112</v>
      </c>
      <c r="B66" s="3">
        <v>44980</v>
      </c>
      <c r="C66" s="2" t="s">
        <v>30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36</v>
      </c>
    </row>
    <row r="67" spans="1:12" x14ac:dyDescent="0.25">
      <c r="A67" s="2" t="s">
        <v>113</v>
      </c>
      <c r="B67" s="3">
        <v>45032</v>
      </c>
      <c r="C67" s="2" t="s">
        <v>46</v>
      </c>
      <c r="D67" s="2" t="s">
        <v>44</v>
      </c>
      <c r="E67" s="2" t="s">
        <v>21</v>
      </c>
      <c r="F67" s="2" t="s">
        <v>47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32</v>
      </c>
    </row>
    <row r="68" spans="1:12" x14ac:dyDescent="0.25">
      <c r="A68" s="2" t="s">
        <v>114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42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36</v>
      </c>
    </row>
    <row r="69" spans="1:12" x14ac:dyDescent="0.25">
      <c r="A69" s="2" t="s">
        <v>115</v>
      </c>
      <c r="B69" s="3">
        <v>45236</v>
      </c>
      <c r="C69" s="2" t="s">
        <v>96</v>
      </c>
      <c r="D69" s="2" t="s">
        <v>44</v>
      </c>
      <c r="E69" s="2" t="s">
        <v>27</v>
      </c>
      <c r="F69" s="2" t="s">
        <v>61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36</v>
      </c>
    </row>
    <row r="70" spans="1:12" x14ac:dyDescent="0.25">
      <c r="A70" s="2" t="s">
        <v>116</v>
      </c>
      <c r="B70" s="3">
        <v>45117</v>
      </c>
      <c r="C70" s="2" t="s">
        <v>65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25">
      <c r="A71" s="2" t="s">
        <v>117</v>
      </c>
      <c r="B71" s="3">
        <v>45144</v>
      </c>
      <c r="C71" s="2" t="s">
        <v>46</v>
      </c>
      <c r="D71" s="2" t="s">
        <v>14</v>
      </c>
      <c r="E71" s="2" t="s">
        <v>21</v>
      </c>
      <c r="F71" s="2" t="s">
        <v>53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32</v>
      </c>
    </row>
    <row r="72" spans="1:12" x14ac:dyDescent="0.25">
      <c r="A72" s="2" t="s">
        <v>118</v>
      </c>
      <c r="B72" s="3">
        <v>44970</v>
      </c>
      <c r="C72" s="2" t="s">
        <v>35</v>
      </c>
      <c r="D72" s="2" t="s">
        <v>20</v>
      </c>
      <c r="E72" s="2" t="s">
        <v>27</v>
      </c>
      <c r="F72" s="2" t="s">
        <v>57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25">
      <c r="A73" s="2" t="s">
        <v>119</v>
      </c>
      <c r="B73" s="3">
        <v>45088</v>
      </c>
      <c r="C73" s="2" t="s">
        <v>96</v>
      </c>
      <c r="D73" s="2" t="s">
        <v>20</v>
      </c>
      <c r="E73" s="2" t="s">
        <v>15</v>
      </c>
      <c r="F73" s="2" t="s">
        <v>42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25">
      <c r="A74" s="2" t="s">
        <v>120</v>
      </c>
      <c r="B74" s="3">
        <v>45128</v>
      </c>
      <c r="C74" s="2" t="s">
        <v>30</v>
      </c>
      <c r="D74" s="2" t="s">
        <v>20</v>
      </c>
      <c r="E74" s="2" t="s">
        <v>27</v>
      </c>
      <c r="F74" s="2" t="s">
        <v>57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36</v>
      </c>
    </row>
    <row r="75" spans="1:12" x14ac:dyDescent="0.25">
      <c r="A75" s="2" t="s">
        <v>121</v>
      </c>
      <c r="B75" s="3">
        <v>45196</v>
      </c>
      <c r="C75" s="2" t="s">
        <v>38</v>
      </c>
      <c r="D75" s="2" t="s">
        <v>41</v>
      </c>
      <c r="E75" s="2" t="s">
        <v>27</v>
      </c>
      <c r="F75" s="2" t="s">
        <v>61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36</v>
      </c>
    </row>
    <row r="76" spans="1:12" x14ac:dyDescent="0.25">
      <c r="A76" s="2" t="s">
        <v>122</v>
      </c>
      <c r="B76" s="3">
        <v>45277</v>
      </c>
      <c r="C76" s="2" t="s">
        <v>96</v>
      </c>
      <c r="D76" s="2" t="s">
        <v>20</v>
      </c>
      <c r="E76" s="2" t="s">
        <v>21</v>
      </c>
      <c r="F76" s="2" t="s">
        <v>53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36</v>
      </c>
    </row>
    <row r="77" spans="1:12" x14ac:dyDescent="0.25">
      <c r="A77" s="2" t="s">
        <v>123</v>
      </c>
      <c r="B77" s="3">
        <v>45230</v>
      </c>
      <c r="C77" s="2" t="s">
        <v>65</v>
      </c>
      <c r="D77" s="2" t="s">
        <v>44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25">
      <c r="A78" s="2" t="s">
        <v>124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32</v>
      </c>
    </row>
    <row r="79" spans="1:12" x14ac:dyDescent="0.25">
      <c r="A79" s="2" t="s">
        <v>125</v>
      </c>
      <c r="B79" s="3">
        <v>45141</v>
      </c>
      <c r="C79" s="2" t="s">
        <v>30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25">
      <c r="A80" s="2" t="s">
        <v>126</v>
      </c>
      <c r="B80" s="3">
        <v>45178</v>
      </c>
      <c r="C80" s="2" t="s">
        <v>65</v>
      </c>
      <c r="D80" s="2" t="s">
        <v>14</v>
      </c>
      <c r="E80" s="2" t="s">
        <v>27</v>
      </c>
      <c r="F80" s="2" t="s">
        <v>57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25">
      <c r="A81" s="2" t="s">
        <v>127</v>
      </c>
      <c r="B81" s="3">
        <v>45116</v>
      </c>
      <c r="C81" s="2" t="s">
        <v>96</v>
      </c>
      <c r="D81" s="2" t="s">
        <v>44</v>
      </c>
      <c r="E81" s="2" t="s">
        <v>15</v>
      </c>
      <c r="F81" s="2" t="s">
        <v>31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32</v>
      </c>
    </row>
    <row r="82" spans="1:12" x14ac:dyDescent="0.25">
      <c r="A82" s="2" t="s">
        <v>128</v>
      </c>
      <c r="B82" s="3">
        <v>45222</v>
      </c>
      <c r="C82" s="2" t="s">
        <v>65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36</v>
      </c>
    </row>
    <row r="83" spans="1:12" x14ac:dyDescent="0.25">
      <c r="A83" s="2" t="s">
        <v>129</v>
      </c>
      <c r="B83" s="3">
        <v>45139</v>
      </c>
      <c r="C83" s="2" t="s">
        <v>35</v>
      </c>
      <c r="D83" s="2" t="s">
        <v>14</v>
      </c>
      <c r="E83" s="2" t="s">
        <v>21</v>
      </c>
      <c r="F83" s="2" t="s">
        <v>53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25">
      <c r="A84" s="2" t="s">
        <v>130</v>
      </c>
      <c r="B84" s="3">
        <v>45134</v>
      </c>
      <c r="C84" s="2" t="s">
        <v>40</v>
      </c>
      <c r="D84" s="2" t="s">
        <v>44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25">
      <c r="A85" s="2" t="s">
        <v>131</v>
      </c>
      <c r="B85" s="3">
        <v>45163</v>
      </c>
      <c r="C85" s="2" t="s">
        <v>30</v>
      </c>
      <c r="D85" s="2" t="s">
        <v>20</v>
      </c>
      <c r="E85" s="2" t="s">
        <v>21</v>
      </c>
      <c r="F85" s="2" t="s">
        <v>53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36</v>
      </c>
    </row>
    <row r="86" spans="1:12" x14ac:dyDescent="0.25">
      <c r="A86" s="2" t="s">
        <v>132</v>
      </c>
      <c r="B86" s="3">
        <v>45264</v>
      </c>
      <c r="C86" s="2" t="s">
        <v>65</v>
      </c>
      <c r="D86" s="2" t="s">
        <v>44</v>
      </c>
      <c r="E86" s="2" t="s">
        <v>27</v>
      </c>
      <c r="F86" s="2" t="s">
        <v>57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32</v>
      </c>
    </row>
    <row r="87" spans="1:12" x14ac:dyDescent="0.25">
      <c r="A87" s="2" t="s">
        <v>133</v>
      </c>
      <c r="B87" s="3">
        <v>44979</v>
      </c>
      <c r="C87" s="2" t="s">
        <v>35</v>
      </c>
      <c r="D87" s="2" t="s">
        <v>20</v>
      </c>
      <c r="E87" s="2" t="s">
        <v>15</v>
      </c>
      <c r="F87" s="2" t="s">
        <v>42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32</v>
      </c>
    </row>
    <row r="88" spans="1:12" x14ac:dyDescent="0.25">
      <c r="A88" s="2" t="s">
        <v>134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31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25">
      <c r="A89" s="2" t="s">
        <v>135</v>
      </c>
      <c r="B89" s="3">
        <v>45143</v>
      </c>
      <c r="C89" s="2" t="s">
        <v>65</v>
      </c>
      <c r="D89" s="2" t="s">
        <v>44</v>
      </c>
      <c r="E89" s="2" t="s">
        <v>15</v>
      </c>
      <c r="F89" s="2" t="s">
        <v>42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32</v>
      </c>
    </row>
    <row r="90" spans="1:12" x14ac:dyDescent="0.25">
      <c r="A90" s="2" t="s">
        <v>136</v>
      </c>
      <c r="B90" s="3">
        <v>45178</v>
      </c>
      <c r="C90" s="2" t="s">
        <v>56</v>
      </c>
      <c r="D90" s="2" t="s">
        <v>14</v>
      </c>
      <c r="E90" s="2" t="s">
        <v>15</v>
      </c>
      <c r="F90" s="2" t="s">
        <v>42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36</v>
      </c>
    </row>
    <row r="91" spans="1:12" x14ac:dyDescent="0.25">
      <c r="A91" s="2" t="s">
        <v>137</v>
      </c>
      <c r="B91" s="3">
        <v>45114</v>
      </c>
      <c r="C91" s="2" t="s">
        <v>65</v>
      </c>
      <c r="D91" s="2" t="s">
        <v>14</v>
      </c>
      <c r="E91" s="2" t="s">
        <v>21</v>
      </c>
      <c r="F91" s="2" t="s">
        <v>53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25">
      <c r="A92" s="2" t="s">
        <v>138</v>
      </c>
      <c r="B92" s="3">
        <v>44967</v>
      </c>
      <c r="C92" s="2" t="s">
        <v>46</v>
      </c>
      <c r="D92" s="2" t="s">
        <v>41</v>
      </c>
      <c r="E92" s="2" t="s">
        <v>27</v>
      </c>
      <c r="F92" s="2" t="s">
        <v>61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36</v>
      </c>
    </row>
    <row r="93" spans="1:12" x14ac:dyDescent="0.25">
      <c r="A93" s="2" t="s">
        <v>139</v>
      </c>
      <c r="B93" s="3">
        <v>45083</v>
      </c>
      <c r="C93" s="2" t="s">
        <v>96</v>
      </c>
      <c r="D93" s="2" t="s">
        <v>44</v>
      </c>
      <c r="E93" s="2" t="s">
        <v>15</v>
      </c>
      <c r="F93" s="2" t="s">
        <v>31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25">
      <c r="A94" s="2" t="s">
        <v>140</v>
      </c>
      <c r="B94" s="3">
        <v>44941</v>
      </c>
      <c r="C94" s="2" t="s">
        <v>65</v>
      </c>
      <c r="D94" s="2" t="s">
        <v>14</v>
      </c>
      <c r="E94" s="2" t="s">
        <v>21</v>
      </c>
      <c r="F94" s="2" t="s">
        <v>53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32</v>
      </c>
    </row>
    <row r="95" spans="1:12" x14ac:dyDescent="0.25">
      <c r="A95" s="2" t="s">
        <v>141</v>
      </c>
      <c r="B95" s="3">
        <v>45227</v>
      </c>
      <c r="C95" s="2" t="s">
        <v>65</v>
      </c>
      <c r="D95" s="2" t="s">
        <v>14</v>
      </c>
      <c r="E95" s="2" t="s">
        <v>27</v>
      </c>
      <c r="F95" s="2" t="s">
        <v>28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25">
      <c r="A96" s="2" t="s">
        <v>142</v>
      </c>
      <c r="B96" s="3">
        <v>44991</v>
      </c>
      <c r="C96" s="2" t="s">
        <v>13</v>
      </c>
      <c r="D96" s="2" t="s">
        <v>41</v>
      </c>
      <c r="E96" s="2" t="s">
        <v>15</v>
      </c>
      <c r="F96" s="2" t="s">
        <v>42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25">
      <c r="A97" s="2" t="s">
        <v>143</v>
      </c>
      <c r="B97" s="3">
        <v>45271</v>
      </c>
      <c r="C97" s="2" t="s">
        <v>65</v>
      </c>
      <c r="D97" s="2" t="s">
        <v>20</v>
      </c>
      <c r="E97" s="2" t="s">
        <v>27</v>
      </c>
      <c r="F97" s="2" t="s">
        <v>57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36</v>
      </c>
    </row>
    <row r="98" spans="1:12" x14ac:dyDescent="0.25">
      <c r="A98" s="2" t="s">
        <v>144</v>
      </c>
      <c r="B98" s="3">
        <v>45253</v>
      </c>
      <c r="C98" s="2" t="s">
        <v>30</v>
      </c>
      <c r="D98" s="2" t="s">
        <v>14</v>
      </c>
      <c r="E98" s="2" t="s">
        <v>27</v>
      </c>
      <c r="F98" s="2" t="s">
        <v>57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32</v>
      </c>
    </row>
    <row r="99" spans="1:12" x14ac:dyDescent="0.25">
      <c r="A99" s="2" t="s">
        <v>145</v>
      </c>
      <c r="B99" s="3">
        <v>44935</v>
      </c>
      <c r="C99" s="2" t="s">
        <v>46</v>
      </c>
      <c r="D99" s="2" t="s">
        <v>20</v>
      </c>
      <c r="E99" s="2" t="s">
        <v>27</v>
      </c>
      <c r="F99" s="2" t="s">
        <v>61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25">
      <c r="A100" s="2" t="s">
        <v>146</v>
      </c>
      <c r="B100" s="3">
        <v>45270</v>
      </c>
      <c r="C100" s="2" t="s">
        <v>65</v>
      </c>
      <c r="D100" s="2" t="s">
        <v>41</v>
      </c>
      <c r="E100" s="2" t="s">
        <v>15</v>
      </c>
      <c r="F100" s="2" t="s">
        <v>31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25">
      <c r="A101" s="2" t="s">
        <v>147</v>
      </c>
      <c r="B101" s="3">
        <v>45055</v>
      </c>
      <c r="C101" s="2" t="s">
        <v>38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6794-93CE-4B4C-91E3-6BD1C0BD1F1E}">
  <dimension ref="A1:I49"/>
  <sheetViews>
    <sheetView tabSelected="1" workbookViewId="0">
      <selection activeCell="L13" sqref="L13"/>
    </sheetView>
  </sheetViews>
  <sheetFormatPr defaultRowHeight="15" x14ac:dyDescent="0.25"/>
  <cols>
    <col min="2" max="2" width="10.5703125" bestFit="1" customWidth="1"/>
    <col min="3" max="3" width="21" bestFit="1" customWidth="1"/>
    <col min="7" max="8" width="9.85546875" bestFit="1" customWidth="1"/>
    <col min="9" max="9" width="15.140625" bestFit="1" customWidth="1"/>
  </cols>
  <sheetData>
    <row r="1" spans="1:8" x14ac:dyDescent="0.25">
      <c r="A1" s="6" t="s">
        <v>148</v>
      </c>
      <c r="B1" s="6" t="s">
        <v>149</v>
      </c>
      <c r="C1" s="6" t="s">
        <v>4</v>
      </c>
      <c r="D1" s="6" t="s">
        <v>150</v>
      </c>
      <c r="E1" s="6" t="s">
        <v>151</v>
      </c>
      <c r="F1" s="6" t="s">
        <v>152</v>
      </c>
      <c r="G1" s="6" t="s">
        <v>153</v>
      </c>
      <c r="H1" s="6" t="s">
        <v>154</v>
      </c>
    </row>
    <row r="2" spans="1:8" x14ac:dyDescent="0.25">
      <c r="A2" s="7">
        <v>101</v>
      </c>
      <c r="B2" s="7" t="s">
        <v>155</v>
      </c>
      <c r="C2" s="7" t="s">
        <v>161</v>
      </c>
      <c r="D2" s="7">
        <v>120</v>
      </c>
      <c r="E2" s="7">
        <v>130</v>
      </c>
      <c r="F2" s="7">
        <v>140</v>
      </c>
      <c r="G2" s="7">
        <v>150</v>
      </c>
      <c r="H2" s="7">
        <v>160</v>
      </c>
    </row>
    <row r="3" spans="1:8" x14ac:dyDescent="0.25">
      <c r="A3" s="7">
        <v>102</v>
      </c>
      <c r="B3" s="7" t="s">
        <v>156</v>
      </c>
      <c r="C3" s="7" t="s">
        <v>27</v>
      </c>
      <c r="D3" s="7">
        <v>150</v>
      </c>
      <c r="E3" s="7">
        <v>160</v>
      </c>
      <c r="F3" s="7">
        <v>170</v>
      </c>
      <c r="G3" s="7">
        <v>180</v>
      </c>
      <c r="H3" s="7">
        <v>190</v>
      </c>
    </row>
    <row r="4" spans="1:8" x14ac:dyDescent="0.25">
      <c r="A4" s="7">
        <v>103</v>
      </c>
      <c r="B4" s="7" t="s">
        <v>157</v>
      </c>
      <c r="C4" s="7" t="s">
        <v>161</v>
      </c>
      <c r="D4" s="7">
        <v>200</v>
      </c>
      <c r="E4" s="7">
        <v>210</v>
      </c>
      <c r="F4" s="7">
        <v>220</v>
      </c>
      <c r="G4" s="7">
        <v>230</v>
      </c>
      <c r="H4" s="7">
        <v>240</v>
      </c>
    </row>
    <row r="5" spans="1:8" x14ac:dyDescent="0.25">
      <c r="A5" s="7">
        <v>104</v>
      </c>
      <c r="B5" s="7" t="s">
        <v>158</v>
      </c>
      <c r="C5" s="7" t="s">
        <v>162</v>
      </c>
      <c r="D5" s="7">
        <v>90</v>
      </c>
      <c r="E5" s="7">
        <v>100</v>
      </c>
      <c r="F5" s="7">
        <v>110</v>
      </c>
      <c r="G5" s="7">
        <v>120</v>
      </c>
      <c r="H5" s="7">
        <v>130</v>
      </c>
    </row>
    <row r="6" spans="1:8" x14ac:dyDescent="0.25">
      <c r="A6" s="7">
        <v>105</v>
      </c>
      <c r="B6" s="7" t="s">
        <v>159</v>
      </c>
      <c r="C6" s="7" t="s">
        <v>27</v>
      </c>
      <c r="D6" s="7">
        <v>220</v>
      </c>
      <c r="E6" s="7">
        <v>230</v>
      </c>
      <c r="F6" s="7">
        <v>240</v>
      </c>
      <c r="G6" s="7">
        <v>250</v>
      </c>
      <c r="H6" s="7">
        <v>260</v>
      </c>
    </row>
    <row r="7" spans="1:8" x14ac:dyDescent="0.25">
      <c r="A7" s="7">
        <v>106</v>
      </c>
      <c r="B7" s="7" t="s">
        <v>160</v>
      </c>
      <c r="C7" s="7" t="s">
        <v>161</v>
      </c>
      <c r="D7" s="7">
        <v>130</v>
      </c>
      <c r="E7" s="7">
        <v>140</v>
      </c>
      <c r="F7" s="7">
        <v>150</v>
      </c>
      <c r="G7" s="7">
        <v>160</v>
      </c>
      <c r="H7" s="7">
        <v>170</v>
      </c>
    </row>
    <row r="9" spans="1:8" x14ac:dyDescent="0.25">
      <c r="A9" s="5" t="s">
        <v>163</v>
      </c>
    </row>
    <row r="11" spans="1:8" x14ac:dyDescent="0.25">
      <c r="B11" s="8" t="s">
        <v>149</v>
      </c>
      <c r="C11" s="8" t="s">
        <v>152</v>
      </c>
    </row>
    <row r="12" spans="1:8" x14ac:dyDescent="0.25">
      <c r="B12" s="9" t="s">
        <v>157</v>
      </c>
      <c r="C12" s="9">
        <f>INDEX(A1:H7,MATCH(B12,B1:B7,0),MATCH(C11,A1:H1,0))</f>
        <v>220</v>
      </c>
    </row>
    <row r="14" spans="1:8" x14ac:dyDescent="0.25">
      <c r="A14" s="5" t="s">
        <v>164</v>
      </c>
    </row>
    <row r="16" spans="1:8" x14ac:dyDescent="0.25">
      <c r="B16" s="8" t="s">
        <v>149</v>
      </c>
      <c r="C16" s="8" t="s">
        <v>4</v>
      </c>
    </row>
    <row r="17" spans="1:9" x14ac:dyDescent="0.25">
      <c r="B17" s="9" t="s">
        <v>159</v>
      </c>
      <c r="C17" s="9" t="str">
        <f>INDEX(A1:H7,MATCH(B17,B1:B7,0),MATCH(C16,A1:H1,0))</f>
        <v>Furniture</v>
      </c>
    </row>
    <row r="19" spans="1:9" x14ac:dyDescent="0.25">
      <c r="A19" s="5" t="s">
        <v>165</v>
      </c>
    </row>
    <row r="21" spans="1:9" x14ac:dyDescent="0.25">
      <c r="B21" s="8" t="s">
        <v>149</v>
      </c>
      <c r="C21" s="8" t="s">
        <v>150</v>
      </c>
      <c r="D21" s="8" t="s">
        <v>151</v>
      </c>
      <c r="E21" s="8" t="s">
        <v>152</v>
      </c>
      <c r="F21" s="8" t="s">
        <v>153</v>
      </c>
      <c r="G21" s="8" t="s">
        <v>154</v>
      </c>
      <c r="I21" s="8" t="s">
        <v>166</v>
      </c>
    </row>
    <row r="22" spans="1:9" x14ac:dyDescent="0.25">
      <c r="B22" s="9" t="s">
        <v>156</v>
      </c>
      <c r="C22" s="9">
        <f>INDEX($A$1:$H$7,MATCH($B$22,$B$1:$B$7,0),MATCH(C21,$A$1:$H$1,0))</f>
        <v>150</v>
      </c>
      <c r="D22" s="9">
        <f t="shared" ref="D22:G22" si="0">INDEX($A$1:$H$7,MATCH($B$22,$B$1:$B$7,0),MATCH(D21,$A$1:$H$1,0))</f>
        <v>160</v>
      </c>
      <c r="E22" s="9">
        <f t="shared" si="0"/>
        <v>170</v>
      </c>
      <c r="F22" s="9">
        <f t="shared" si="0"/>
        <v>180</v>
      </c>
      <c r="G22" s="9">
        <f t="shared" si="0"/>
        <v>190</v>
      </c>
      <c r="I22" s="9">
        <f>MAX(C22:G22)</f>
        <v>190</v>
      </c>
    </row>
    <row r="24" spans="1:9" x14ac:dyDescent="0.25">
      <c r="A24" s="5" t="s">
        <v>167</v>
      </c>
    </row>
    <row r="26" spans="1:9" x14ac:dyDescent="0.25">
      <c r="B26" s="8" t="s">
        <v>149</v>
      </c>
      <c r="C26" s="8" t="s">
        <v>176</v>
      </c>
    </row>
    <row r="27" spans="1:9" x14ac:dyDescent="0.25">
      <c r="B27" s="9" t="s">
        <v>155</v>
      </c>
      <c r="C27" s="9" t="e">
        <f>INDEX(A1:H7,MATCH(B27,B1:B7,0),MATCH(C26,MAX(A1)))</f>
        <v>#N/A</v>
      </c>
    </row>
    <row r="29" spans="1:9" x14ac:dyDescent="0.25">
      <c r="A29" s="5" t="s">
        <v>168</v>
      </c>
    </row>
    <row r="31" spans="1:9" x14ac:dyDescent="0.25">
      <c r="B31" s="8" t="s">
        <v>4</v>
      </c>
      <c r="C31" s="8" t="s">
        <v>153</v>
      </c>
    </row>
    <row r="32" spans="1:9" x14ac:dyDescent="0.25">
      <c r="B32" s="9" t="s">
        <v>161</v>
      </c>
      <c r="C32" s="9">
        <f ca="1">SUMIF(C2:C7,"Electronics",(INDEX(A1:H7,MATCH(B32,C1:C7,0),MATCH(C31,A1:H1,0))))</f>
        <v>540</v>
      </c>
    </row>
    <row r="34" spans="1:9" x14ac:dyDescent="0.25">
      <c r="A34" s="5" t="s">
        <v>169</v>
      </c>
    </row>
    <row r="36" spans="1:9" x14ac:dyDescent="0.25">
      <c r="B36" s="8" t="s">
        <v>149</v>
      </c>
      <c r="C36" s="8" t="s">
        <v>150</v>
      </c>
      <c r="D36" s="8" t="s">
        <v>151</v>
      </c>
      <c r="E36" s="8" t="s">
        <v>152</v>
      </c>
      <c r="F36" s="8" t="s">
        <v>153</v>
      </c>
      <c r="G36" s="8" t="s">
        <v>154</v>
      </c>
      <c r="I36" s="8" t="s">
        <v>175</v>
      </c>
    </row>
    <row r="37" spans="1:9" x14ac:dyDescent="0.25">
      <c r="B37" s="9" t="s">
        <v>158</v>
      </c>
      <c r="C37" s="9">
        <f>INDEX($A$1:$H$7,MATCH($B$37,$B$1:$B$7,0),MATCH(C36,$A$1:$H$1,0))</f>
        <v>90</v>
      </c>
      <c r="D37" s="9">
        <f t="shared" ref="D37:G37" si="1">INDEX($A$1:$H$7,MATCH($B$37,$B$1:$B$7,0),MATCH(D36,$A$1:$H$1,0))</f>
        <v>100</v>
      </c>
      <c r="E37" s="9">
        <f t="shared" si="1"/>
        <v>110</v>
      </c>
      <c r="F37" s="9">
        <f t="shared" si="1"/>
        <v>120</v>
      </c>
      <c r="G37" s="9">
        <f t="shared" si="1"/>
        <v>130</v>
      </c>
      <c r="I37" s="9">
        <f>AVERAGE(C37:G37)</f>
        <v>110</v>
      </c>
    </row>
    <row r="40" spans="1:9" x14ac:dyDescent="0.25">
      <c r="A40" s="5" t="s">
        <v>170</v>
      </c>
    </row>
    <row r="42" spans="1:9" x14ac:dyDescent="0.25">
      <c r="B42" s="8" t="s">
        <v>148</v>
      </c>
      <c r="C42" s="8" t="s">
        <v>154</v>
      </c>
    </row>
    <row r="43" spans="1:9" x14ac:dyDescent="0.25">
      <c r="B43" s="9">
        <v>105</v>
      </c>
      <c r="C43" s="9">
        <f>INDEX(A1:H7,MATCH(B43,A1:A7,0),MATCH(C42,A1:H1,0))</f>
        <v>260</v>
      </c>
    </row>
    <row r="46" spans="1:9" x14ac:dyDescent="0.25">
      <c r="A46" s="5" t="s">
        <v>171</v>
      </c>
    </row>
    <row r="48" spans="1:9" x14ac:dyDescent="0.25">
      <c r="B48" s="8" t="s">
        <v>149</v>
      </c>
      <c r="C48" s="8" t="s">
        <v>172</v>
      </c>
      <c r="D48" s="8" t="s">
        <v>174</v>
      </c>
    </row>
    <row r="49" spans="2:4" x14ac:dyDescent="0.25">
      <c r="B49" s="9" t="s">
        <v>160</v>
      </c>
      <c r="C49" s="9" t="s">
        <v>173</v>
      </c>
      <c r="D4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INDEX-MATCH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ANNASHYA KUNDU</dc:creator>
  <cp:lastModifiedBy>ANNASHYA KUNDU</cp:lastModifiedBy>
  <dcterms:created xsi:type="dcterms:W3CDTF">2026-03-12T05:45:49Z</dcterms:created>
  <dcterms:modified xsi:type="dcterms:W3CDTF">2026-03-13T05:43:15Z</dcterms:modified>
</cp:coreProperties>
</file>