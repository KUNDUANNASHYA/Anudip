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d836e8f53be5f/Documents/Desktop/ANUDIP/"/>
    </mc:Choice>
  </mc:AlternateContent>
  <xr:revisionPtr revIDLastSave="118" documentId="8_{6A585BE0-D4AF-4928-8A34-641B1C910BA7}" xr6:coauthVersionLast="47" xr6:coauthVersionMax="47" xr10:uidLastSave="{5E482081-0E4B-45AD-AE7A-0764D9F3888D}"/>
  <bookViews>
    <workbookView xWindow="-120" yWindow="-120" windowWidth="29040" windowHeight="15720" activeTab="1" xr2:uid="{6F66CA70-80B2-4FA9-9BFE-776A184B888C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2" i="2"/>
  <c r="G3" i="2"/>
  <c r="G4" i="2"/>
  <c r="G5" i="2"/>
  <c r="G6" i="2"/>
  <c r="G7" i="2"/>
  <c r="G8" i="2"/>
  <c r="G2" i="2"/>
  <c r="D6" i="2"/>
  <c r="E3" i="2"/>
  <c r="E4" i="2"/>
  <c r="E5" i="2"/>
  <c r="E6" i="2"/>
  <c r="E8" i="2"/>
  <c r="E2" i="2"/>
  <c r="I2" i="2" s="1"/>
  <c r="D3" i="2"/>
  <c r="D4" i="2"/>
  <c r="D5" i="2"/>
  <c r="D8" i="2"/>
  <c r="D2" i="2"/>
  <c r="C11" i="2" l="1"/>
  <c r="J3" i="2" l="1"/>
  <c r="I8" i="2"/>
  <c r="I3" i="2"/>
  <c r="J4" i="2"/>
  <c r="J5" i="2"/>
  <c r="J6" i="2"/>
  <c r="J8" i="2"/>
  <c r="I4" i="2"/>
  <c r="I5" i="2"/>
  <c r="I6" i="2"/>
  <c r="F4" i="2"/>
  <c r="F5" i="2"/>
  <c r="F3" i="2"/>
  <c r="F6" i="2"/>
  <c r="F8" i="2"/>
  <c r="F2" i="2" l="1"/>
  <c r="J2" i="2"/>
  <c r="J11" i="2" s="1"/>
</calcChain>
</file>

<file path=xl/sharedStrings.xml><?xml version="1.0" encoding="utf-8"?>
<sst xmlns="http://schemas.openxmlformats.org/spreadsheetml/2006/main" count="30" uniqueCount="27">
  <si>
    <t>ProductID</t>
  </si>
  <si>
    <t>Product</t>
  </si>
  <si>
    <t>ProductA</t>
  </si>
  <si>
    <t>ProductB</t>
  </si>
  <si>
    <t>ProductC</t>
  </si>
  <si>
    <t>ProductD</t>
  </si>
  <si>
    <t>ProductE</t>
  </si>
  <si>
    <t>ProductF</t>
  </si>
  <si>
    <t>Price</t>
  </si>
  <si>
    <t>OrderID</t>
  </si>
  <si>
    <t>Quantity</t>
  </si>
  <si>
    <t>TotalPrice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</si>
  <si>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</si>
  <si>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</si>
  <si>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</si>
  <si>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</si>
  <si>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Discounted Price</t>
  </si>
  <si>
    <t>5. Use VLOOKUP to find the price for each ProductID and then calculate the order value. Find the maximum order value from the list.</t>
  </si>
  <si>
    <t>Order Value</t>
  </si>
  <si>
    <t>6. Use VLOOKUP to find out which products from the Products worksheet have not been ordered.</t>
  </si>
  <si>
    <t>7. Use VLOOKUP to find the Product name and summarize the total quantity sold for each product.</t>
  </si>
  <si>
    <t>Discount</t>
  </si>
  <si>
    <t>Not ordered</t>
  </si>
  <si>
    <t>Max Order Value</t>
  </si>
  <si>
    <t>Total Quantity</t>
  </si>
  <si>
    <t>Product Status</t>
  </si>
  <si>
    <t>ProductG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</si>
</sst>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/>
    <xf numFmtId="0" fontId="2" fillId="0" borderId="0" xfId="0" applyFont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92F5-C6FE-4AA8-A918-5019DE799F5B}">
  <dimension ref="A1:C7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s="2">
        <v>101</v>
      </c>
      <c r="B2" s="2" t="s">
        <v>2</v>
      </c>
      <c r="C2" s="2">
        <v>120</v>
      </c>
    </row>
    <row r="3" spans="1:3" x14ac:dyDescent="0.25">
      <c r="A3" s="2">
        <v>102</v>
      </c>
      <c r="B3" s="2" t="s">
        <v>3</v>
      </c>
      <c r="C3" s="2">
        <v>150</v>
      </c>
    </row>
    <row r="4" spans="1:3" x14ac:dyDescent="0.25">
      <c r="A4" s="2">
        <v>103</v>
      </c>
      <c r="B4" s="2" t="s">
        <v>4</v>
      </c>
      <c r="C4" s="2">
        <v>200</v>
      </c>
    </row>
    <row r="5" spans="1:3" x14ac:dyDescent="0.25">
      <c r="A5" s="2">
        <v>104</v>
      </c>
      <c r="B5" s="2" t="s">
        <v>5</v>
      </c>
      <c r="C5" s="2">
        <v>90</v>
      </c>
    </row>
    <row r="6" spans="1:3" x14ac:dyDescent="0.25">
      <c r="A6" s="2">
        <v>105</v>
      </c>
      <c r="B6" s="2" t="s">
        <v>6</v>
      </c>
      <c r="C6" s="2">
        <v>220</v>
      </c>
    </row>
    <row r="7" spans="1:3" x14ac:dyDescent="0.25">
      <c r="A7" s="2">
        <v>106</v>
      </c>
      <c r="B7" s="2" t="s">
        <v>7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B378-98F9-44B3-BA18-9B00331843D0}">
  <dimension ref="A1:N18"/>
  <sheetViews>
    <sheetView tabSelected="1" zoomScale="170" workbookViewId="0">
      <selection activeCell="F15" sqref="F15"/>
    </sheetView>
  </sheetViews>
  <sheetFormatPr defaultRowHeight="15" x14ac:dyDescent="0.25"/>
  <cols>
    <col min="3" max="3" width="13.7109375" bestFit="1" customWidth="1"/>
    <col min="7" max="7" width="13.85546875" bestFit="1" customWidth="1"/>
    <col min="8" max="8" width="11.140625" customWidth="1"/>
    <col min="9" max="9" width="16" bestFit="1" customWidth="1"/>
    <col min="10" max="10" width="16.5703125" customWidth="1"/>
    <col min="11" max="11" width="11.85546875" bestFit="1" customWidth="1"/>
  </cols>
  <sheetData>
    <row r="1" spans="1:13" x14ac:dyDescent="0.25">
      <c r="A1" s="3" t="s">
        <v>9</v>
      </c>
      <c r="B1" s="3" t="s">
        <v>0</v>
      </c>
      <c r="C1" s="3" t="s">
        <v>10</v>
      </c>
      <c r="D1" s="3" t="s">
        <v>1</v>
      </c>
      <c r="E1" s="3" t="s">
        <v>8</v>
      </c>
      <c r="F1" s="3" t="s">
        <v>11</v>
      </c>
      <c r="G1" s="3" t="s">
        <v>25</v>
      </c>
      <c r="H1" s="3" t="s">
        <v>21</v>
      </c>
      <c r="I1" s="3" t="s">
        <v>16</v>
      </c>
      <c r="J1" s="3" t="s">
        <v>18</v>
      </c>
      <c r="K1" s="3" t="s">
        <v>22</v>
      </c>
    </row>
    <row r="2" spans="1:13" x14ac:dyDescent="0.25">
      <c r="A2" s="4">
        <v>1</v>
      </c>
      <c r="B2" s="4">
        <v>101</v>
      </c>
      <c r="C2" s="4">
        <v>2</v>
      </c>
      <c r="D2" s="11" t="str">
        <f>VLOOKUP(B2,Products!$A$1:$C$7,2,0)</f>
        <v>ProductA</v>
      </c>
      <c r="E2" s="7">
        <f>VLOOKUP(B2,Products!$A$1:$C$7,3,0)</f>
        <v>120</v>
      </c>
      <c r="F2" s="7">
        <f>C2*E2</f>
        <v>240</v>
      </c>
      <c r="G2" s="12" t="str">
        <f>IF(ISNA(VLOOKUP(B2,Products!$A$1:$C$7,1,0)),"Not Found","Found")</f>
        <v>Found</v>
      </c>
      <c r="H2" s="13">
        <v>0.1</v>
      </c>
      <c r="I2" s="11">
        <f>E2-(E2*H2)</f>
        <v>108</v>
      </c>
      <c r="J2" s="12">
        <f>C2*E2</f>
        <v>240</v>
      </c>
      <c r="K2" s="14" t="str">
        <f>IF(ISNA(VLOOKUP(B2,Products!$A$2:$C$7,3,0)),"Not Ordered","Ordered")</f>
        <v>Ordered</v>
      </c>
      <c r="M2" s="5" t="s">
        <v>12</v>
      </c>
    </row>
    <row r="3" spans="1:13" x14ac:dyDescent="0.25">
      <c r="A3" s="4">
        <v>2</v>
      </c>
      <c r="B3" s="4">
        <v>103</v>
      </c>
      <c r="C3" s="4">
        <v>1</v>
      </c>
      <c r="D3" s="11" t="str">
        <f>VLOOKUP(B3,Products!$A$1:$C$7,2,0)</f>
        <v>ProductC</v>
      </c>
      <c r="E3" s="7">
        <f>VLOOKUP(B3,Products!$A$1:$C$7,3,0)</f>
        <v>200</v>
      </c>
      <c r="F3" s="7">
        <f t="shared" ref="F3:F6" si="0">C3*E3</f>
        <v>200</v>
      </c>
      <c r="G3" s="12" t="str">
        <f>IF(ISNA(VLOOKUP(B3,Products!$A$1:$C$7,1,0)),"Not Found","Found")</f>
        <v>Found</v>
      </c>
      <c r="H3" s="13">
        <v>0.1</v>
      </c>
      <c r="I3" s="11">
        <f>E3-(E3*H3)</f>
        <v>180</v>
      </c>
      <c r="J3" s="12">
        <f t="shared" ref="J3:J6" si="1">C3*E3</f>
        <v>200</v>
      </c>
      <c r="K3" s="14" t="str">
        <f>IF(ISNA(VLOOKUP(B3,Products!$A$2:$C$7,3,0)),"Not Ordered","Ordered")</f>
        <v>Ordered</v>
      </c>
      <c r="M3" s="8" t="s">
        <v>13</v>
      </c>
    </row>
    <row r="4" spans="1:13" x14ac:dyDescent="0.25">
      <c r="A4" s="4">
        <v>3</v>
      </c>
      <c r="B4" s="4">
        <v>105</v>
      </c>
      <c r="C4" s="4">
        <v>4</v>
      </c>
      <c r="D4" s="11" t="str">
        <f>VLOOKUP(B4,Products!$A$1:$C$7,2,0)</f>
        <v>ProductE</v>
      </c>
      <c r="E4" s="7">
        <f>VLOOKUP(B4,Products!$A$1:$C$7,3,0)</f>
        <v>220</v>
      </c>
      <c r="F4" s="7">
        <f t="shared" si="0"/>
        <v>880</v>
      </c>
      <c r="G4" s="12" t="str">
        <f>IF(ISNA(VLOOKUP(B4,Products!$A$1:$C$7,1,0)),"Not Found","Found")</f>
        <v>Found</v>
      </c>
      <c r="H4" s="13">
        <v>0.1</v>
      </c>
      <c r="I4" s="11">
        <f t="shared" ref="I4:I6" si="2">E4-(E4*H4)</f>
        <v>198</v>
      </c>
      <c r="J4" s="12">
        <f t="shared" si="1"/>
        <v>880</v>
      </c>
      <c r="K4" s="14" t="str">
        <f>IF(ISNA(VLOOKUP(B4,Products!$A$2:$C$7,3,0)),"Not Ordered","Ordered")</f>
        <v>Ordered</v>
      </c>
      <c r="M4" s="9" t="s">
        <v>14</v>
      </c>
    </row>
    <row r="5" spans="1:13" x14ac:dyDescent="0.25">
      <c r="A5" s="4">
        <v>4</v>
      </c>
      <c r="B5" s="4">
        <v>106</v>
      </c>
      <c r="C5" s="4">
        <v>3</v>
      </c>
      <c r="D5" s="11" t="str">
        <f>VLOOKUP(B5,Products!$A$1:$C$7,2,0)</f>
        <v>ProductF</v>
      </c>
      <c r="E5" s="7">
        <f>VLOOKUP(B5,Products!$A$1:$C$7,3,0)</f>
        <v>130</v>
      </c>
      <c r="F5" s="7">
        <f t="shared" si="0"/>
        <v>390</v>
      </c>
      <c r="G5" s="12" t="str">
        <f>IF(ISNA(VLOOKUP(B5,Products!$A$1:$C$7,1,0)),"Not Found","Found")</f>
        <v>Found</v>
      </c>
      <c r="H5" s="13">
        <v>0.1</v>
      </c>
      <c r="I5" s="11">
        <f t="shared" si="2"/>
        <v>117</v>
      </c>
      <c r="J5" s="12">
        <f t="shared" si="1"/>
        <v>390</v>
      </c>
      <c r="K5" s="14" t="str">
        <f>IF(ISNA(VLOOKUP(B5,Products!$A$2:$C$7,3,0)),"Not Ordered","Ordered")</f>
        <v>Ordered</v>
      </c>
      <c r="M5" s="5" t="s">
        <v>15</v>
      </c>
    </row>
    <row r="6" spans="1:13" x14ac:dyDescent="0.25">
      <c r="A6" s="4">
        <v>5</v>
      </c>
      <c r="B6" s="4">
        <v>102</v>
      </c>
      <c r="C6" s="4">
        <v>5</v>
      </c>
      <c r="D6" s="11" t="str">
        <f>VLOOKUP(B6,Products!$A$1:$C$7,2,0)</f>
        <v>ProductB</v>
      </c>
      <c r="E6" s="7">
        <f>VLOOKUP(B6,Products!$A$1:$C$7,3,0)</f>
        <v>150</v>
      </c>
      <c r="F6" s="7">
        <f t="shared" si="0"/>
        <v>750</v>
      </c>
      <c r="G6" s="12" t="str">
        <f>IF(ISNA(VLOOKUP(B6,Products!$A$1:$C$7,1,0)),"Not Found","Found")</f>
        <v>Found</v>
      </c>
      <c r="H6" s="13">
        <v>0.1</v>
      </c>
      <c r="I6" s="11">
        <f t="shared" si="2"/>
        <v>135</v>
      </c>
      <c r="J6" s="12">
        <f t="shared" si="1"/>
        <v>750</v>
      </c>
      <c r="K6" s="14" t="str">
        <f>IF(ISNA(VLOOKUP(B6,Products!$A$2:$C$7,3,0)),"Not Ordered","Ordered")</f>
        <v>Ordered</v>
      </c>
      <c r="M6" s="9" t="s">
        <v>17</v>
      </c>
    </row>
    <row r="7" spans="1:13" x14ac:dyDescent="0.25">
      <c r="A7" s="4">
        <v>7</v>
      </c>
      <c r="B7" s="4">
        <v>107</v>
      </c>
      <c r="C7" s="4"/>
      <c r="D7" s="11" t="s">
        <v>26</v>
      </c>
      <c r="E7" s="7">
        <v>200</v>
      </c>
      <c r="F7" s="7"/>
      <c r="G7" s="12" t="str">
        <f>IF(ISNA(VLOOKUP(B7,Products!$A$1:$C$7,1,0)),"Not Found","Found")</f>
        <v>Not Found</v>
      </c>
      <c r="H7" s="13"/>
      <c r="I7" s="11"/>
      <c r="J7" s="12"/>
      <c r="K7" s="14" t="str">
        <f>IF(ISNA(VLOOKUP(B7,Products!$A$2:$C$7,3,0)),"Not Ordered","Ordered")</f>
        <v>Not Ordered</v>
      </c>
      <c r="M7" s="9"/>
    </row>
    <row r="8" spans="1:13" x14ac:dyDescent="0.25">
      <c r="A8" s="4">
        <v>6</v>
      </c>
      <c r="B8" s="4">
        <v>104</v>
      </c>
      <c r="C8" s="4">
        <v>6</v>
      </c>
      <c r="D8" s="11" t="str">
        <f>VLOOKUP(B8,Products!$A$1:$C$7,2,0)</f>
        <v>ProductD</v>
      </c>
      <c r="E8" s="7">
        <f>VLOOKUP(B8,Products!$A$1:$C$7,3,0)</f>
        <v>90</v>
      </c>
      <c r="F8" s="7">
        <f>C8*E8</f>
        <v>540</v>
      </c>
      <c r="G8" s="12" t="str">
        <f>IF(ISNA(VLOOKUP(B8,Products!$A$1:$C$7,1,0)),"Not Found","Found")</f>
        <v>Found</v>
      </c>
      <c r="H8" s="13">
        <v>0.1</v>
      </c>
      <c r="I8" s="11">
        <f>E8-(E8*H8)</f>
        <v>81</v>
      </c>
      <c r="J8" s="12">
        <f>C8*E8</f>
        <v>540</v>
      </c>
      <c r="K8" s="14" t="str">
        <f>IF(ISNA(VLOOKUP(B8,Products!$A$2:$C$7,3,0)),"Not Ordered","Ordered")</f>
        <v>Ordered</v>
      </c>
      <c r="M8" s="10" t="s">
        <v>19</v>
      </c>
    </row>
    <row r="9" spans="1:13" x14ac:dyDescent="0.25">
      <c r="M9" s="17" t="s">
        <v>20</v>
      </c>
    </row>
    <row r="10" spans="1:13" x14ac:dyDescent="0.25">
      <c r="C10" s="15" t="s">
        <v>24</v>
      </c>
      <c r="J10" s="15" t="s">
        <v>23</v>
      </c>
    </row>
    <row r="11" spans="1:13" x14ac:dyDescent="0.25">
      <c r="C11" s="16">
        <f>SUM(C2:C8)</f>
        <v>21</v>
      </c>
      <c r="J11" s="12">
        <f>MAX(J2:J8)</f>
        <v>880</v>
      </c>
    </row>
    <row r="18" spans="14:14" x14ac:dyDescent="0.25">
      <c r="N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ANNASHYA KUNDU</dc:creator>
  <cp:lastModifiedBy>ANNASHYA KUNDU</cp:lastModifiedBy>
  <dcterms:created xsi:type="dcterms:W3CDTF">2026-03-07T11:21:39Z</dcterms:created>
  <dcterms:modified xsi:type="dcterms:W3CDTF">2026-03-10T16:08:21Z</dcterms:modified>
</cp:coreProperties>
</file>